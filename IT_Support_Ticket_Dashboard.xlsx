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lish\OneDrive\Desktop\Portfolio\Excel\IT Support Ticket Performance Dashboard\"/>
    </mc:Choice>
  </mc:AlternateContent>
  <xr:revisionPtr revIDLastSave="0" documentId="13_ncr:1_{1346C164-AC0C-4B32-837B-41ED61C003C8}" xr6:coauthVersionLast="47" xr6:coauthVersionMax="47" xr10:uidLastSave="{00000000-0000-0000-0000-000000000000}"/>
  <bookViews>
    <workbookView xWindow="-108" yWindow="-108" windowWidth="23256" windowHeight="12456" activeTab="5" xr2:uid="{00000000-000D-0000-FFFF-FFFF00000000}"/>
  </bookViews>
  <sheets>
    <sheet name="Raw Data" sheetId="1" r:id="rId1"/>
    <sheet name="Cleaned Data" sheetId="2" r:id="rId2"/>
    <sheet name="Dashboard" sheetId="9" r:id="rId3"/>
    <sheet name="Analysis" sheetId="3" r:id="rId4"/>
    <sheet name="Insights" sheetId="7" r:id="rId5"/>
    <sheet name="Data Dictionary" sheetId="6" r:id="rId6"/>
  </sheets>
  <definedNames>
    <definedName name="Slicer_Assigned_Team">#N/A</definedName>
    <definedName name="Slicer_Category">#N/A</definedName>
    <definedName name="Slicer_Customer_Department">#N/A</definedName>
    <definedName name="Slicer_Priority">#N/A</definedName>
    <definedName name="Slicer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2" l="1"/>
  <c r="M3" i="2"/>
  <c r="N3" i="2" s="1"/>
  <c r="C10" i="3"/>
  <c r="C5" i="3"/>
  <c r="C4" i="3"/>
  <c r="C3" i="3"/>
  <c r="P3" i="2" a="1"/>
  <c r="P3" i="2" s="1"/>
  <c r="P4" i="2" a="1"/>
  <c r="P4" i="2" s="1"/>
  <c r="P5" i="2" a="1"/>
  <c r="P5" i="2" s="1"/>
  <c r="P6" i="2" a="1"/>
  <c r="P6" i="2" s="1"/>
  <c r="P7" i="2" a="1"/>
  <c r="P7" i="2" s="1"/>
  <c r="P8" i="2" a="1"/>
  <c r="P8" i="2" s="1"/>
  <c r="P9" i="2" a="1"/>
  <c r="P9" i="2" s="1"/>
  <c r="P10" i="2" a="1"/>
  <c r="P10" i="2" s="1"/>
  <c r="P11" i="2" a="1"/>
  <c r="P11" i="2" s="1"/>
  <c r="P12" i="2" a="1"/>
  <c r="P12" i="2" s="1"/>
  <c r="P13" i="2" a="1"/>
  <c r="P13" i="2" s="1"/>
  <c r="P14" i="2" a="1"/>
  <c r="P14" i="2" s="1"/>
  <c r="P15" i="2" a="1"/>
  <c r="P15" i="2" s="1"/>
  <c r="P16" i="2" a="1"/>
  <c r="P16" i="2" s="1"/>
  <c r="P17" i="2" a="1"/>
  <c r="P17" i="2" s="1"/>
  <c r="P18" i="2" a="1"/>
  <c r="P18" i="2" s="1"/>
  <c r="P19" i="2" a="1"/>
  <c r="P19" i="2" s="1"/>
  <c r="P20" i="2" a="1"/>
  <c r="P20" i="2" s="1"/>
  <c r="P21" i="2" a="1"/>
  <c r="P21" i="2" s="1"/>
  <c r="P22" i="2" a="1"/>
  <c r="P22" i="2" s="1"/>
  <c r="P23" i="2" a="1"/>
  <c r="P23" i="2" s="1"/>
  <c r="P24" i="2" a="1"/>
  <c r="P24" i="2" s="1"/>
  <c r="P25" i="2" a="1"/>
  <c r="P25" i="2" s="1"/>
  <c r="P26" i="2" a="1"/>
  <c r="P26" i="2" s="1"/>
  <c r="P27" i="2" a="1"/>
  <c r="P27" i="2" s="1"/>
  <c r="P28" i="2" a="1"/>
  <c r="P28" i="2" s="1"/>
  <c r="P29" i="2" a="1"/>
  <c r="P29" i="2" s="1"/>
  <c r="P30" i="2" a="1"/>
  <c r="P30" i="2" s="1"/>
  <c r="P31" i="2" a="1"/>
  <c r="P31" i="2" s="1"/>
  <c r="P32" i="2" a="1"/>
  <c r="P32" i="2" s="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N4" i="2"/>
  <c r="N5" i="2"/>
  <c r="N9" i="2"/>
  <c r="N10" i="2"/>
  <c r="N15" i="2"/>
  <c r="N20" i="2"/>
  <c r="N25" i="2"/>
  <c r="N30" i="2"/>
  <c r="M5" i="2"/>
  <c r="M6" i="2"/>
  <c r="N6" i="2" s="1"/>
  <c r="M7" i="2"/>
  <c r="N7" i="2" s="1"/>
  <c r="M8" i="2"/>
  <c r="N8" i="2" s="1"/>
  <c r="M9" i="2"/>
  <c r="M10" i="2"/>
  <c r="M11" i="2"/>
  <c r="N11" i="2" s="1"/>
  <c r="M12" i="2"/>
  <c r="N12" i="2" s="1"/>
  <c r="M13" i="2"/>
  <c r="N13" i="2" s="1"/>
  <c r="M14" i="2"/>
  <c r="N14" i="2" s="1"/>
  <c r="M15" i="2"/>
  <c r="M16" i="2"/>
  <c r="N16" i="2" s="1"/>
  <c r="M17" i="2"/>
  <c r="N17" i="2" s="1"/>
  <c r="M18" i="2"/>
  <c r="N18" i="2" s="1"/>
  <c r="M19" i="2"/>
  <c r="N19" i="2" s="1"/>
  <c r="M20" i="2"/>
  <c r="M21" i="2"/>
  <c r="N21" i="2" s="1"/>
  <c r="M22" i="2"/>
  <c r="N22" i="2" s="1"/>
  <c r="M23" i="2"/>
  <c r="N23" i="2" s="1"/>
  <c r="M24" i="2"/>
  <c r="N24" i="2" s="1"/>
  <c r="M25" i="2"/>
  <c r="M26" i="2"/>
  <c r="N26" i="2" s="1"/>
  <c r="M27" i="2"/>
  <c r="N27" i="2" s="1"/>
  <c r="M28" i="2"/>
  <c r="N28" i="2" s="1"/>
  <c r="M29" i="2"/>
  <c r="N29" i="2" s="1"/>
  <c r="M30" i="2"/>
  <c r="M31" i="2"/>
  <c r="N31" i="2" s="1"/>
  <c r="M32" i="2"/>
  <c r="N32" i="2" s="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C9" i="3" l="1"/>
  <c r="C8" i="3"/>
  <c r="C6" i="3"/>
  <c r="C7"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<sst xmlns="http://schemas.openxmlformats.org/spreadsheetml/2006/main" count="579" uniqueCount="128">
  <si>
    <t>Ticket ID</t>
  </si>
  <si>
    <t>Created Date</t>
  </si>
  <si>
    <t>Resolved Date</t>
  </si>
  <si>
    <t>Priority</t>
  </si>
  <si>
    <t>Status</t>
  </si>
  <si>
    <t>Category</t>
  </si>
  <si>
    <t>Assigned Team</t>
  </si>
  <si>
    <t>Channel</t>
  </si>
  <si>
    <t>Customer Department</t>
  </si>
  <si>
    <t>SLA Hours</t>
  </si>
  <si>
    <t>TCK-001</t>
  </si>
  <si>
    <t>High</t>
  </si>
  <si>
    <t>Closed</t>
  </si>
  <si>
    <t>Network</t>
  </si>
  <si>
    <t>Network Team</t>
  </si>
  <si>
    <t>Email</t>
  </si>
  <si>
    <t>Finance</t>
  </si>
  <si>
    <t>TCK-002</t>
  </si>
  <si>
    <t>Medium</t>
  </si>
  <si>
    <t>Software</t>
  </si>
  <si>
    <t>Application Team</t>
  </si>
  <si>
    <t>Portal</t>
  </si>
  <si>
    <t>HR</t>
  </si>
  <si>
    <t>TCK-003</t>
  </si>
  <si>
    <t>Open</t>
  </si>
  <si>
    <t>Hardware</t>
  </si>
  <si>
    <t>Desktop Support</t>
  </si>
  <si>
    <t>Phone</t>
  </si>
  <si>
    <t>Operations</t>
  </si>
  <si>
    <t>TCK-004</t>
  </si>
  <si>
    <t>Low</t>
  </si>
  <si>
    <t>Access Request</t>
  </si>
  <si>
    <t>Service Desk</t>
  </si>
  <si>
    <t>Sales</t>
  </si>
  <si>
    <t>TCK-005</t>
  </si>
  <si>
    <t>TCK-006</t>
  </si>
  <si>
    <t>Critical</t>
  </si>
  <si>
    <t>TCK-007</t>
  </si>
  <si>
    <t>Password Reset</t>
  </si>
  <si>
    <t>TCK-008</t>
  </si>
  <si>
    <t>TCK-009</t>
  </si>
  <si>
    <t>TCK-010</t>
  </si>
  <si>
    <t>TCK-011</t>
  </si>
  <si>
    <t>TCK-012</t>
  </si>
  <si>
    <t>TCK-013</t>
  </si>
  <si>
    <t>TCK-014</t>
  </si>
  <si>
    <t>TCK-015</t>
  </si>
  <si>
    <t>TCK-016</t>
  </si>
  <si>
    <t>TCK-017</t>
  </si>
  <si>
    <t>TCK-018</t>
  </si>
  <si>
    <t>TCK-019</t>
  </si>
  <si>
    <t>TCK-020</t>
  </si>
  <si>
    <t>TCK-021</t>
  </si>
  <si>
    <t>TCK-022</t>
  </si>
  <si>
    <t>TCK-023</t>
  </si>
  <si>
    <t>TCK-024</t>
  </si>
  <si>
    <t>TCK-025</t>
  </si>
  <si>
    <t>TCK-026</t>
  </si>
  <si>
    <t>TCK-027</t>
  </si>
  <si>
    <t>TCK-028</t>
  </si>
  <si>
    <t>TCK-029</t>
  </si>
  <si>
    <t>TCK-030</t>
  </si>
  <si>
    <t>Created Month</t>
  </si>
  <si>
    <t>Resolution Hours</t>
  </si>
  <si>
    <t>SLA Status</t>
  </si>
  <si>
    <t>Ticket Age Hours</t>
  </si>
  <si>
    <t>Priority Rank</t>
  </si>
  <si>
    <t>KPI</t>
  </si>
  <si>
    <t>Closed Tickets</t>
  </si>
  <si>
    <t>Total Tickets</t>
  </si>
  <si>
    <t>Open Tickets</t>
  </si>
  <si>
    <t>SLA Breached Tickets</t>
  </si>
  <si>
    <t>SLA Within Tickets</t>
  </si>
  <si>
    <t>SLA Breached Rate</t>
  </si>
  <si>
    <t>Average Resolution Hours</t>
  </si>
  <si>
    <t>Critical Tickets</t>
  </si>
  <si>
    <t>Count</t>
  </si>
  <si>
    <t>Row Labels</t>
  </si>
  <si>
    <t>Feb 2026</t>
  </si>
  <si>
    <t>Jan 2026</t>
  </si>
  <si>
    <t>Mar 2026</t>
  </si>
  <si>
    <t>Grand Total</t>
  </si>
  <si>
    <t>Count of Ticket ID</t>
  </si>
  <si>
    <t>Column Labels</t>
  </si>
  <si>
    <t>Breached</t>
  </si>
  <si>
    <t>Within SLA</t>
  </si>
  <si>
    <t>Average of Resolution Hours</t>
  </si>
  <si>
    <t>IT Support Ticket Performance Dashboard</t>
  </si>
  <si>
    <t>Insight</t>
  </si>
  <si>
    <t>Evidence</t>
  </si>
  <si>
    <t>Business Recommendation</t>
  </si>
  <si>
    <t>SLA breach rate is high</t>
  </si>
  <si>
    <t>Review SLA monitoring and improve escalation process</t>
  </si>
  <si>
    <t>Open tickets require backlog tracking</t>
  </si>
  <si>
    <t>6 tickets are still open</t>
  </si>
  <si>
    <t>Create daily aging review for unresolved tickets</t>
  </si>
  <si>
    <t>Network and software issues need attention</t>
  </si>
  <si>
    <t>These categories appear frequently in the dataset</t>
  </si>
  <si>
    <t>Investigate recurring technical issues</t>
  </si>
  <si>
    <t>Critical tickets require faster action</t>
  </si>
  <si>
    <t>Critical tickets have strict SLA targets</t>
  </si>
  <si>
    <t>Escalate critical tickets earlier</t>
  </si>
  <si>
    <t>Team performance should be monitored</t>
  </si>
  <si>
    <t>SLA status differs by assigned team</t>
  </si>
  <si>
    <t>Review workload and support capacity by team</t>
  </si>
  <si>
    <t>11 out of 24 closed tickets breached SLA, around 45.83%</t>
  </si>
  <si>
    <t>Column name</t>
  </si>
  <si>
    <t>Description</t>
  </si>
  <si>
    <t>Unique ticket reference number</t>
  </si>
  <si>
    <t>Date and time ticket was created</t>
  </si>
  <si>
    <t>Date and time ticket was solved</t>
  </si>
  <si>
    <t>Urgency level of the ticket</t>
  </si>
  <si>
    <t>Current ticket status</t>
  </si>
  <si>
    <t>Type of IT status</t>
  </si>
  <si>
    <t>Team responsible for solving the ticket</t>
  </si>
  <si>
    <t>Method used to submit ticket</t>
  </si>
  <si>
    <t>Department that raised the ticket</t>
  </si>
  <si>
    <t>Target resolution time</t>
  </si>
  <si>
    <t>Month and year of ticket creation</t>
  </si>
  <si>
    <t>Hours taken to resolve the ticket</t>
  </si>
  <si>
    <t>SLA performance label</t>
  </si>
  <si>
    <t>Age of unresolved ticket</t>
  </si>
  <si>
    <t>Numeric ranking of ticket urgency</t>
  </si>
  <si>
    <t>Raw Data</t>
  </si>
  <si>
    <t>Cleaned Data</t>
  </si>
  <si>
    <t>Insights</t>
  </si>
  <si>
    <t>Data Dictionary</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</si>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</sst>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entury Gothic"/>
      <family val="2"/>
      <scheme val="minor"/>
    </font>
    <font>
      <sz val="11"/>
      <color theme="1"/>
      <name val="Century Gothic"/>
      <family val="2"/>
      <scheme val="minor"/>
    </font>
    <font>
      <b/>
      <sz val="11"/>
      <color theme="1"/>
      <name val="Century Gothic"/>
      <family val="2"/>
      <scheme val="minor"/>
    </font>
    <font>
      <b/>
      <sz val="11"/>
      <color theme="0"/>
      <name val="Century Gothic"/>
      <family val="2"/>
      <scheme val="minor"/>
    </font>
    <font>
      <b/>
      <sz val="9"/>
      <color theme="0"/>
      <name val="Century Gothic"/>
      <family val="2"/>
      <scheme val="minor"/>
    </font>
    <font>
      <sz val="9"/>
      <color theme="1"/>
      <name val="Century Gothic"/>
      <family val="2"/>
      <scheme val="minor"/>
    </font>
    <font>
      <b/>
      <sz val="22"/>
      <color theme="0"/>
      <name val="Segoe UI"/>
      <family val="2"/>
    </font>
    <font>
      <b/>
      <sz val="22"/>
      <color theme="0"/>
      <name val="Aharoni"/>
      <charset val="177"/>
    </font>
  </fonts>
  <fills count="4">
    <fill>
      <patternFill patternType="none"/>
    </fill>
    <fill>
      <patternFill patternType="gray125"/>
    </fill>
    <fill>
      <patternFill patternType="solid">
        <fgColor theme="4" tint="-0.499984740745262"/>
        <bgColor indexed="64"/>
      </patternFill>
    </fill>
    <fill>
      <patternFill patternType="solid">
        <fgColor rgb="FF3D0A09"/>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22" fontId="0" fillId="0" borderId="0" xfId="0" applyNumberFormat="1"/>
    <xf numFmtId="0" fontId="0" fillId="0" borderId="0" xfId="0" applyAlignment="1">
      <alignment horizontal="center" vertical="center"/>
    </xf>
    <xf numFmtId="0" fontId="0" fillId="0" borderId="0" xfId="0" pivotButton="1" applyAlignment="1">
      <alignment horizontal="center" vertical="center"/>
    </xf>
    <xf numFmtId="10" fontId="0" fillId="0" borderId="0" xfId="0" applyNumberFormat="1" applyAlignment="1">
      <alignment horizontal="center" vertical="center"/>
    </xf>
    <xf numFmtId="2" fontId="0" fillId="0" borderId="0" xfId="0" applyNumberFormat="1" applyAlignment="1">
      <alignment horizontal="center" vertical="center"/>
    </xf>
    <xf numFmtId="0" fontId="0" fillId="2" borderId="0" xfId="0" applyFill="1"/>
    <xf numFmtId="0" fontId="3" fillId="0" borderId="0" xfId="0" applyFont="1" applyAlignment="1">
      <alignment horizontal="center" vertical="center"/>
    </xf>
    <xf numFmtId="0" fontId="4" fillId="2" borderId="0" xfId="0" applyFont="1" applyFill="1" applyAlignment="1">
      <alignment horizontal="center" vertical="center"/>
    </xf>
    <xf numFmtId="0" fontId="5" fillId="2" borderId="0" xfId="0" applyFont="1" applyFill="1"/>
    <xf numFmtId="0" fontId="5" fillId="2" borderId="0" xfId="0" applyFont="1" applyFill="1" applyAlignment="1">
      <alignment horizontal="center" vertical="center"/>
    </xf>
    <xf numFmtId="0" fontId="6" fillId="3" borderId="0" xfId="0" applyFont="1" applyFill="1" applyAlignment="1">
      <alignment horizontal="center" vertical="center"/>
    </xf>
    <xf numFmtId="0" fontId="0" fillId="0" borderId="0" xfId="0" applyBorder="1" applyAlignment="1">
      <alignment horizontal="center" vertical="center"/>
    </xf>
    <xf numFmtId="0" fontId="7" fillId="3" borderId="0" xfId="0" applyFont="1" applyFill="1" applyAlignment="1">
      <alignment horizontal="center" vertical="center"/>
    </xf>
    <xf numFmtId="0" fontId="2" fillId="0" borderId="0" xfId="0" applyFont="1" applyBorder="1" applyAlignment="1">
      <alignment horizontal="center" vertical="center"/>
    </xf>
    <xf numFmtId="9" fontId="2" fillId="0" borderId="0" xfId="1" applyFont="1" applyBorder="1" applyAlignment="1">
      <alignment horizontal="center" vertical="center"/>
    </xf>
    <xf numFmtId="164" fontId="2" fillId="0" borderId="0" xfId="0" applyNumberFormat="1" applyFont="1" applyBorder="1" applyAlignment="1">
      <alignment horizontal="center" vertical="center"/>
    </xf>
    <xf numFmtId="0" fontId="0" fillId="0" borderId="0" xfId="0" applyNumberFormat="1" applyAlignment="1">
      <alignment horizontal="center" vertical="center"/>
    </xf>
  </cellXfs>
  <cellStyles count="2">
    <cellStyle name="Normal" xfId="0" builtinId="0"/>
    <cellStyle name="Percent" xfId="1" builtinId="5"/>
  </cellStyles>
  <dxfs count="84">
    <dxf>
      <font>
        <color rgb="FF9C0006"/>
      </font>
      <fill>
        <patternFill>
          <bgColor rgb="FFFFC7CE"/>
        </patternFill>
      </fill>
    </dxf>
    <dxf>
      <font>
        <color rgb="FF006100"/>
      </font>
      <fill>
        <patternFill>
          <bgColor rgb="FFC6EFCE"/>
        </patternFill>
      </fill>
    </dxf>
    <dxf>
      <font>
        <color rgb="FF9C5700"/>
      </font>
      <fill>
        <patternFill>
          <bgColor rgb="FFFFEB9C"/>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27" formatCode="dd/mm/yyyy\ h:mm"/>
    </dxf>
    <dxf>
      <numFmt numFmtId="27" formatCode="dd/mm/yyyy\ h:mm"/>
    </dxf>
    <dxf>
      <numFmt numFmtId="27" formatCode="dd/mm/yyyy\ h:mm"/>
    </dxf>
  </dxfs>
  <tableStyles count="0" defaultTableStyle="TableStyleMedium2" defaultPivotStyle="PivotStyleLight16"/>
  <colors>
    <mruColors>
      <color rgb="FF3D0A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[IT_Support_Ticket_Dashboard.xlsx]Analysis!Tickets by Month</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71454529722251E-2"/>
          <c:y val="0.25778498793178489"/>
          <c:w val="0.88652620345533728"/>
          <c:h val="0.38353710811274216"/>
        </c:manualLayout>
      </c:layout>
      <c:lineChart>
        <c:grouping val="standard"/>
        <c:varyColors val="0"/>
        <c:ser>
          <c:idx val="0"/>
          <c:order val="0"/>
          <c:tx>
            <c:strRef>
              <c:f>Analysis!$C$13</c:f>
              <c:strCache>
                <c:ptCount val="1"/>
                <c:pt idx="0">
                  <c:v>Total</c:v>
                </c:pt>
              </c:strCache>
            </c:strRef>
          </c:tx>
          <c:spPr>
            <a:ln w="28575" cap="rnd">
              <a:solidFill>
                <a:schemeClr val="accent1"/>
              </a:solidFill>
              <a:round/>
            </a:ln>
            <a:effectLst/>
          </c:spPr>
          <c:marker>
            <c:symbol val="none"/>
          </c:marker>
          <c:cat>
            <c:strRef>
              <c:f>Analysis!$B$14:$B$17</c:f>
              <c:strCache>
                <c:ptCount val="3"/>
                <c:pt idx="0">
                  <c:v>Feb 2026</c:v>
                </c:pt>
                <c:pt idx="1">
                  <c:v>Jan 2026</c:v>
                </c:pt>
                <c:pt idx="2">
                  <c:v>Mar 2026</c:v>
                </c:pt>
              </c:strCache>
            </c:strRef>
          </c:cat>
          <c:val>
            <c:numRef>
              <c:f>Analysis!$C$14:$C$17</c:f>
              <c:numCache>
                <c:formatCode>General</c:formatCode>
                <c:ptCount val="3"/>
                <c:pt idx="0">
                  <c:v>10</c:v>
                </c:pt>
                <c:pt idx="1">
                  <c:v>10</c:v>
                </c:pt>
                <c:pt idx="2">
                  <c:v>10</c:v>
                </c:pt>
              </c:numCache>
            </c:numRef>
          </c:val>
          <c:smooth val="0"/>
          <c:extLst>
            <c:ext xmlns:c16="http://schemas.microsoft.com/office/drawing/2014/chart" uri="{C3380CC4-5D6E-409C-BE32-E72D297353CC}">
              <c16:uniqueId val="{00000000-6CB3-4E6C-B6E1-567A956AD2CF}"/>
            </c:ext>
          </c:extLst>
        </c:ser>
        <c:dLbls>
          <c:showLegendKey val="0"/>
          <c:showVal val="0"/>
          <c:showCatName val="0"/>
          <c:showSerName val="0"/>
          <c:showPercent val="0"/>
          <c:showBubbleSize val="0"/>
        </c:dLbls>
        <c:smooth val="0"/>
        <c:axId val="1757235039"/>
        <c:axId val="1757244639"/>
      </c:lineChart>
      <c:catAx>
        <c:axId val="175723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244639"/>
        <c:crosses val="autoZero"/>
        <c:auto val="1"/>
        <c:lblAlgn val="ctr"/>
        <c:lblOffset val="100"/>
        <c:noMultiLvlLbl val="0"/>
      </c:catAx>
      <c:valAx>
        <c:axId val="1757244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235039"/>
        <c:crosses val="autoZero"/>
        <c:crossBetween val="between"/>
      </c:valAx>
      <c:spPr>
        <a:noFill/>
        <a:ln>
          <a:noFill/>
        </a:ln>
        <a:effectLst/>
      </c:spPr>
    </c:plotArea>
    <c:legend>
      <c:legendPos val="r"/>
      <c:layout>
        <c:manualLayout>
          <c:xMode val="edge"/>
          <c:yMode val="edge"/>
          <c:x val="0.76839237922379011"/>
          <c:y val="3.4208093852016057E-2"/>
          <c:w val="0.19130051051310895"/>
          <c:h val="0.145416056661259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[IT_Support_Ticket_Dashboard.xlsx]Analysis!Tickets by Priority</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994089812407648E-2"/>
          <c:y val="0.24663082980012113"/>
          <c:w val="0.8550027742969184"/>
          <c:h val="0.41021098324247929"/>
        </c:manualLayout>
      </c:layout>
      <c:barChart>
        <c:barDir val="col"/>
        <c:grouping val="clustered"/>
        <c:varyColors val="0"/>
        <c:ser>
          <c:idx val="0"/>
          <c:order val="0"/>
          <c:tx>
            <c:strRef>
              <c:f>Analysis!$F$13</c:f>
              <c:strCache>
                <c:ptCount val="1"/>
                <c:pt idx="0">
                  <c:v>Total</c:v>
                </c:pt>
              </c:strCache>
            </c:strRef>
          </c:tx>
          <c:spPr>
            <a:solidFill>
              <a:schemeClr val="accent1"/>
            </a:solidFill>
            <a:ln>
              <a:noFill/>
            </a:ln>
            <a:effectLst/>
          </c:spPr>
          <c:invertIfNegative val="0"/>
          <c:cat>
            <c:strRef>
              <c:f>Analysis!$E$14:$E$16</c:f>
              <c:strCache>
                <c:ptCount val="2"/>
                <c:pt idx="0">
                  <c:v>High</c:v>
                </c:pt>
                <c:pt idx="1">
                  <c:v>Medium</c:v>
                </c:pt>
              </c:strCache>
            </c:strRef>
          </c:cat>
          <c:val>
            <c:numRef>
              <c:f>Analysis!$F$14:$F$16</c:f>
              <c:numCache>
                <c:formatCode>General</c:formatCode>
                <c:ptCount val="2"/>
                <c:pt idx="0">
                  <c:v>2</c:v>
                </c:pt>
                <c:pt idx="1">
                  <c:v>3</c:v>
                </c:pt>
              </c:numCache>
            </c:numRef>
          </c:val>
          <c:extLst>
            <c:ext xmlns:c16="http://schemas.microsoft.com/office/drawing/2014/chart" uri="{C3380CC4-5D6E-409C-BE32-E72D297353CC}">
              <c16:uniqueId val="{00000000-41E7-4F42-AEB4-8A9D4E4D3F6E}"/>
            </c:ext>
          </c:extLst>
        </c:ser>
        <c:dLbls>
          <c:showLegendKey val="0"/>
          <c:showVal val="0"/>
          <c:showCatName val="0"/>
          <c:showSerName val="0"/>
          <c:showPercent val="0"/>
          <c:showBubbleSize val="0"/>
        </c:dLbls>
        <c:gapWidth val="219"/>
        <c:overlap val="-27"/>
        <c:axId val="1757263839"/>
        <c:axId val="1757266239"/>
      </c:barChart>
      <c:catAx>
        <c:axId val="175726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266239"/>
        <c:crosses val="autoZero"/>
        <c:auto val="1"/>
        <c:lblAlgn val="ctr"/>
        <c:lblOffset val="100"/>
        <c:noMultiLvlLbl val="0"/>
      </c:catAx>
      <c:valAx>
        <c:axId val="1757266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263839"/>
        <c:crosses val="autoZero"/>
        <c:crossBetween val="between"/>
      </c:valAx>
      <c:spPr>
        <a:noFill/>
        <a:ln>
          <a:noFill/>
        </a:ln>
        <a:effectLst/>
      </c:spPr>
    </c:plotArea>
    <c:legend>
      <c:legendPos val="r"/>
      <c:layout>
        <c:manualLayout>
          <c:xMode val="edge"/>
          <c:yMode val="edge"/>
          <c:x val="0.74418191405001211"/>
          <c:y val="4.6938934833025074E-2"/>
          <c:w val="0.22199152208120035"/>
          <c:h val="0.139124015748031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[IT_Support_Ticket_Dashboard.xlsx]Analysis!Tickets by Category</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112985159494951"/>
          <c:y val="0.24428196475440569"/>
          <c:w val="0.63332975594693419"/>
          <c:h val="0.57280839895013125"/>
        </c:manualLayout>
      </c:layout>
      <c:barChart>
        <c:barDir val="bar"/>
        <c:grouping val="clustered"/>
        <c:varyColors val="0"/>
        <c:ser>
          <c:idx val="0"/>
          <c:order val="0"/>
          <c:tx>
            <c:strRef>
              <c:f>Analysis!$C$21</c:f>
              <c:strCache>
                <c:ptCount val="1"/>
                <c:pt idx="0">
                  <c:v>Total</c:v>
                </c:pt>
              </c:strCache>
            </c:strRef>
          </c:tx>
          <c:spPr>
            <a:solidFill>
              <a:schemeClr val="accent1"/>
            </a:solidFill>
            <a:ln>
              <a:noFill/>
            </a:ln>
            <a:effectLst/>
          </c:spPr>
          <c:invertIfNegative val="0"/>
          <c:cat>
            <c:strRef>
              <c:f>Analysis!$B$22:$B$27</c:f>
              <c:strCache>
                <c:ptCount val="5"/>
                <c:pt idx="0">
                  <c:v>Access Request</c:v>
                </c:pt>
                <c:pt idx="1">
                  <c:v>Hardware</c:v>
                </c:pt>
                <c:pt idx="2">
                  <c:v>Network</c:v>
                </c:pt>
                <c:pt idx="3">
                  <c:v>Password Reset</c:v>
                </c:pt>
                <c:pt idx="4">
                  <c:v>Software</c:v>
                </c:pt>
              </c:strCache>
            </c:strRef>
          </c:cat>
          <c:val>
            <c:numRef>
              <c:f>Analysis!$C$22:$C$27</c:f>
              <c:numCache>
                <c:formatCode>General</c:formatCode>
                <c:ptCount val="5"/>
                <c:pt idx="0">
                  <c:v>3</c:v>
                </c:pt>
                <c:pt idx="1">
                  <c:v>5</c:v>
                </c:pt>
                <c:pt idx="2">
                  <c:v>8</c:v>
                </c:pt>
                <c:pt idx="3">
                  <c:v>5</c:v>
                </c:pt>
                <c:pt idx="4">
                  <c:v>9</c:v>
                </c:pt>
              </c:numCache>
            </c:numRef>
          </c:val>
          <c:extLst>
            <c:ext xmlns:c16="http://schemas.microsoft.com/office/drawing/2014/chart" uri="{C3380CC4-5D6E-409C-BE32-E72D297353CC}">
              <c16:uniqueId val="{00000000-A690-42CB-8563-2129EA247C71}"/>
            </c:ext>
          </c:extLst>
        </c:ser>
        <c:dLbls>
          <c:showLegendKey val="0"/>
          <c:showVal val="0"/>
          <c:showCatName val="0"/>
          <c:showSerName val="0"/>
          <c:showPercent val="0"/>
          <c:showBubbleSize val="0"/>
        </c:dLbls>
        <c:gapWidth val="182"/>
        <c:axId val="1757267199"/>
        <c:axId val="1757212479"/>
      </c:barChart>
      <c:catAx>
        <c:axId val="1757267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212479"/>
        <c:crosses val="autoZero"/>
        <c:auto val="1"/>
        <c:lblAlgn val="ctr"/>
        <c:lblOffset val="100"/>
        <c:noMultiLvlLbl val="0"/>
      </c:catAx>
      <c:valAx>
        <c:axId val="1757212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267199"/>
        <c:crosses val="autoZero"/>
        <c:crossBetween val="between"/>
      </c:valAx>
      <c:spPr>
        <a:noFill/>
        <a:ln>
          <a:noFill/>
        </a:ln>
        <a:effectLst/>
      </c:spPr>
    </c:plotArea>
    <c:legend>
      <c:legendPos val="r"/>
      <c:layout>
        <c:manualLayout>
          <c:xMode val="edge"/>
          <c:yMode val="edge"/>
          <c:x val="0.83661154123187065"/>
          <c:y val="5.7428441562229593E-2"/>
          <c:w val="0.13159460398797543"/>
          <c:h val="0.137799025121859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[IT_Support_Ticket_Dashboard.xlsx]Analysis!SLA Status by Assigned Team</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57519457617781"/>
          <c:y val="0.10945777937075078"/>
          <c:w val="0.65258623066456123"/>
          <c:h val="0.40826547641715483"/>
        </c:manualLayout>
      </c:layout>
      <c:barChart>
        <c:barDir val="col"/>
        <c:grouping val="stacked"/>
        <c:varyColors val="0"/>
        <c:ser>
          <c:idx val="0"/>
          <c:order val="0"/>
          <c:tx>
            <c:strRef>
              <c:f>Analysis!$F$21:$F$22</c:f>
              <c:strCache>
                <c:ptCount val="1"/>
                <c:pt idx="0">
                  <c:v>Breached</c:v>
                </c:pt>
              </c:strCache>
            </c:strRef>
          </c:tx>
          <c:spPr>
            <a:solidFill>
              <a:schemeClr val="accent1"/>
            </a:solidFill>
            <a:ln>
              <a:noFill/>
            </a:ln>
            <a:effectLst/>
          </c:spPr>
          <c:invertIfNegative val="0"/>
          <c:cat>
            <c:strRef>
              <c:f>Analysis!$E$23:$E$27</c:f>
              <c:strCache>
                <c:ptCount val="4"/>
                <c:pt idx="0">
                  <c:v>Application Team</c:v>
                </c:pt>
                <c:pt idx="1">
                  <c:v>Desktop Support</c:v>
                </c:pt>
                <c:pt idx="2">
                  <c:v>Network Team</c:v>
                </c:pt>
                <c:pt idx="3">
                  <c:v>Service Desk</c:v>
                </c:pt>
              </c:strCache>
            </c:strRef>
          </c:cat>
          <c:val>
            <c:numRef>
              <c:f>Analysis!$F$23:$F$27</c:f>
              <c:numCache>
                <c:formatCode>General</c:formatCode>
                <c:ptCount val="4"/>
                <c:pt idx="0">
                  <c:v>5</c:v>
                </c:pt>
                <c:pt idx="1">
                  <c:v>2</c:v>
                </c:pt>
                <c:pt idx="2">
                  <c:v>3</c:v>
                </c:pt>
                <c:pt idx="3">
                  <c:v>1</c:v>
                </c:pt>
              </c:numCache>
            </c:numRef>
          </c:val>
          <c:extLst>
            <c:ext xmlns:c16="http://schemas.microsoft.com/office/drawing/2014/chart" uri="{C3380CC4-5D6E-409C-BE32-E72D297353CC}">
              <c16:uniqueId val="{00000000-C782-4C59-96CC-E0C3837103C2}"/>
            </c:ext>
          </c:extLst>
        </c:ser>
        <c:ser>
          <c:idx val="1"/>
          <c:order val="1"/>
          <c:tx>
            <c:strRef>
              <c:f>Analysis!$G$21:$G$22</c:f>
              <c:strCache>
                <c:ptCount val="1"/>
                <c:pt idx="0">
                  <c:v>Open</c:v>
                </c:pt>
              </c:strCache>
            </c:strRef>
          </c:tx>
          <c:spPr>
            <a:solidFill>
              <a:schemeClr val="accent2"/>
            </a:solidFill>
            <a:ln>
              <a:noFill/>
            </a:ln>
            <a:effectLst/>
          </c:spPr>
          <c:invertIfNegative val="0"/>
          <c:cat>
            <c:strRef>
              <c:f>Analysis!$E$23:$E$27</c:f>
              <c:strCache>
                <c:ptCount val="4"/>
                <c:pt idx="0">
                  <c:v>Application Team</c:v>
                </c:pt>
                <c:pt idx="1">
                  <c:v>Desktop Support</c:v>
                </c:pt>
                <c:pt idx="2">
                  <c:v>Network Team</c:v>
                </c:pt>
                <c:pt idx="3">
                  <c:v>Service Desk</c:v>
                </c:pt>
              </c:strCache>
            </c:strRef>
          </c:cat>
          <c:val>
            <c:numRef>
              <c:f>Analysis!$G$23:$G$27</c:f>
              <c:numCache>
                <c:formatCode>General</c:formatCode>
                <c:ptCount val="4"/>
                <c:pt idx="0">
                  <c:v>2</c:v>
                </c:pt>
                <c:pt idx="1">
                  <c:v>2</c:v>
                </c:pt>
                <c:pt idx="2">
                  <c:v>2</c:v>
                </c:pt>
              </c:numCache>
            </c:numRef>
          </c:val>
          <c:extLst>
            <c:ext xmlns:c16="http://schemas.microsoft.com/office/drawing/2014/chart" uri="{C3380CC4-5D6E-409C-BE32-E72D297353CC}">
              <c16:uniqueId val="{00000001-C782-4C59-96CC-E0C3837103C2}"/>
            </c:ext>
          </c:extLst>
        </c:ser>
        <c:ser>
          <c:idx val="2"/>
          <c:order val="2"/>
          <c:tx>
            <c:strRef>
              <c:f>Analysis!$H$21:$H$22</c:f>
              <c:strCache>
                <c:ptCount val="1"/>
                <c:pt idx="0">
                  <c:v>Within SLA</c:v>
                </c:pt>
              </c:strCache>
            </c:strRef>
          </c:tx>
          <c:spPr>
            <a:solidFill>
              <a:schemeClr val="accent3"/>
            </a:solidFill>
            <a:ln>
              <a:noFill/>
            </a:ln>
            <a:effectLst/>
          </c:spPr>
          <c:invertIfNegative val="0"/>
          <c:cat>
            <c:strRef>
              <c:f>Analysis!$E$23:$E$27</c:f>
              <c:strCache>
                <c:ptCount val="4"/>
                <c:pt idx="0">
                  <c:v>Application Team</c:v>
                </c:pt>
                <c:pt idx="1">
                  <c:v>Desktop Support</c:v>
                </c:pt>
                <c:pt idx="2">
                  <c:v>Network Team</c:v>
                </c:pt>
                <c:pt idx="3">
                  <c:v>Service Desk</c:v>
                </c:pt>
              </c:strCache>
            </c:strRef>
          </c:cat>
          <c:val>
            <c:numRef>
              <c:f>Analysis!$H$23:$H$27</c:f>
              <c:numCache>
                <c:formatCode>General</c:formatCode>
                <c:ptCount val="4"/>
                <c:pt idx="0">
                  <c:v>2</c:v>
                </c:pt>
                <c:pt idx="1">
                  <c:v>1</c:v>
                </c:pt>
                <c:pt idx="2">
                  <c:v>3</c:v>
                </c:pt>
                <c:pt idx="3">
                  <c:v>7</c:v>
                </c:pt>
              </c:numCache>
            </c:numRef>
          </c:val>
          <c:extLst>
            <c:ext xmlns:c16="http://schemas.microsoft.com/office/drawing/2014/chart" uri="{C3380CC4-5D6E-409C-BE32-E72D297353CC}">
              <c16:uniqueId val="{00000004-C782-4C59-96CC-E0C3837103C2}"/>
            </c:ext>
          </c:extLst>
        </c:ser>
        <c:dLbls>
          <c:showLegendKey val="0"/>
          <c:showVal val="0"/>
          <c:showCatName val="0"/>
          <c:showSerName val="0"/>
          <c:showPercent val="0"/>
          <c:showBubbleSize val="0"/>
        </c:dLbls>
        <c:gapWidth val="150"/>
        <c:overlap val="100"/>
        <c:axId val="1757219679"/>
        <c:axId val="1757224479"/>
      </c:barChart>
      <c:catAx>
        <c:axId val="175721967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224479"/>
        <c:crosses val="autoZero"/>
        <c:auto val="1"/>
        <c:lblAlgn val="ctr"/>
        <c:lblOffset val="100"/>
        <c:noMultiLvlLbl val="0"/>
      </c:catAx>
      <c:valAx>
        <c:axId val="1757224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219679"/>
        <c:crosses val="autoZero"/>
        <c:crossBetween val="between"/>
      </c:valAx>
      <c:spPr>
        <a:noFill/>
        <a:ln>
          <a:noFill/>
        </a:ln>
        <a:effectLst/>
      </c:spPr>
    </c:plotArea>
    <c:legend>
      <c:legendPos val="r"/>
      <c:layout>
        <c:manualLayout>
          <c:xMode val="edge"/>
          <c:yMode val="edge"/>
          <c:x val="6.5274184984984371E-2"/>
          <c:y val="0.75120994388503715"/>
          <c:w val="0.87572285740389244"/>
          <c:h val="0.162737701532358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[IT_Support_Ticket_Dashboard.xlsx]Analysis!Average Resolution Hours by Priority</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238015460833349E-2"/>
          <c:y val="0.26702880755140251"/>
          <c:w val="0.89171337625350033"/>
          <c:h val="0.36143158590792868"/>
        </c:manualLayout>
      </c:layout>
      <c:barChart>
        <c:barDir val="col"/>
        <c:grouping val="clustered"/>
        <c:varyColors val="0"/>
        <c:ser>
          <c:idx val="0"/>
          <c:order val="0"/>
          <c:tx>
            <c:strRef>
              <c:f>Analysis!$I$13</c:f>
              <c:strCache>
                <c:ptCount val="1"/>
                <c:pt idx="0">
                  <c:v>Total</c:v>
                </c:pt>
              </c:strCache>
            </c:strRef>
          </c:tx>
          <c:spPr>
            <a:solidFill>
              <a:schemeClr val="accent1"/>
            </a:solidFill>
            <a:ln>
              <a:noFill/>
            </a:ln>
            <a:effectLst/>
          </c:spPr>
          <c:invertIfNegative val="0"/>
          <c:cat>
            <c:strRef>
              <c:f>Analysis!$H$14:$H$18</c:f>
              <c:strCache>
                <c:ptCount val="4"/>
                <c:pt idx="0">
                  <c:v>Critical</c:v>
                </c:pt>
                <c:pt idx="1">
                  <c:v>High</c:v>
                </c:pt>
                <c:pt idx="2">
                  <c:v>Low</c:v>
                </c:pt>
                <c:pt idx="3">
                  <c:v>Medium</c:v>
                </c:pt>
              </c:strCache>
            </c:strRef>
          </c:cat>
          <c:val>
            <c:numRef>
              <c:f>Analysis!$I$14:$I$18</c:f>
              <c:numCache>
                <c:formatCode>General</c:formatCode>
                <c:ptCount val="4"/>
                <c:pt idx="0">
                  <c:v>8.9166666667442769</c:v>
                </c:pt>
                <c:pt idx="1">
                  <c:v>15.059523809543212</c:v>
                </c:pt>
                <c:pt idx="2">
                  <c:v>4.7976190476412217</c:v>
                </c:pt>
                <c:pt idx="3">
                  <c:v>27.906250000029104</c:v>
                </c:pt>
              </c:numCache>
            </c:numRef>
          </c:val>
          <c:extLst>
            <c:ext xmlns:c16="http://schemas.microsoft.com/office/drawing/2014/chart" uri="{C3380CC4-5D6E-409C-BE32-E72D297353CC}">
              <c16:uniqueId val="{00000000-F393-435F-8C48-C8641CE9B014}"/>
            </c:ext>
          </c:extLst>
        </c:ser>
        <c:dLbls>
          <c:showLegendKey val="0"/>
          <c:showVal val="0"/>
          <c:showCatName val="0"/>
          <c:showSerName val="0"/>
          <c:showPercent val="0"/>
          <c:showBubbleSize val="0"/>
        </c:dLbls>
        <c:gapWidth val="219"/>
        <c:overlap val="-27"/>
        <c:axId val="1757217279"/>
        <c:axId val="1757227359"/>
      </c:barChart>
      <c:catAx>
        <c:axId val="175721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227359"/>
        <c:crosses val="autoZero"/>
        <c:auto val="1"/>
        <c:lblAlgn val="ctr"/>
        <c:lblOffset val="100"/>
        <c:noMultiLvlLbl val="0"/>
      </c:catAx>
      <c:valAx>
        <c:axId val="1757227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217279"/>
        <c:crosses val="autoZero"/>
        <c:crossBetween val="between"/>
      </c:valAx>
      <c:spPr>
        <a:noFill/>
        <a:ln>
          <a:noFill/>
        </a:ln>
        <a:effectLst/>
      </c:spPr>
    </c:plotArea>
    <c:legend>
      <c:legendPos val="r"/>
      <c:layout>
        <c:manualLayout>
          <c:xMode val="edge"/>
          <c:yMode val="edge"/>
          <c:x val="0.78446391989028286"/>
          <c:y val="3.4285433233576107E-2"/>
          <c:w val="0.15474606074695635"/>
          <c:h val="0.150630478991889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Data Dictionary'!A1"/><Relationship Id="rId3" Type="http://schemas.openxmlformats.org/officeDocument/2006/relationships/image" Target="../media/image2.svg"/><Relationship Id="rId7" Type="http://schemas.openxmlformats.org/officeDocument/2006/relationships/hyperlink" Target="#Dashboard!A1"/><Relationship Id="rId12" Type="http://schemas.openxmlformats.org/officeDocument/2006/relationships/image" Target="../media/image8.svg"/><Relationship Id="rId2" Type="http://schemas.openxmlformats.org/officeDocument/2006/relationships/image" Target="../media/image1.png"/><Relationship Id="rId1" Type="http://schemas.openxmlformats.org/officeDocument/2006/relationships/hyperlink" Target="#'Raw Data'!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Analysis!A1"/><Relationship Id="rId4" Type="http://schemas.openxmlformats.org/officeDocument/2006/relationships/hyperlink" Target="#'Cleaned Data'!A1"/><Relationship Id="rId9" Type="http://schemas.openxmlformats.org/officeDocument/2006/relationships/image" Target="../media/image6.svg"/><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Dashboard!A1"/><Relationship Id="rId3" Type="http://schemas.openxmlformats.org/officeDocument/2006/relationships/image" Target="../media/image8.svg"/><Relationship Id="rId7" Type="http://schemas.openxmlformats.org/officeDocument/2006/relationships/hyperlink" Target="#'Raw Data'!A1"/><Relationship Id="rId12" Type="http://schemas.openxmlformats.org/officeDocument/2006/relationships/image" Target="../media/image10.svg"/><Relationship Id="rId2" Type="http://schemas.openxmlformats.org/officeDocument/2006/relationships/image" Target="../media/image7.png"/><Relationship Id="rId1" Type="http://schemas.openxmlformats.org/officeDocument/2006/relationships/hyperlink" Target="#Analysis!A1"/><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image" Target="../media/image6.svg"/><Relationship Id="rId10" Type="http://schemas.openxmlformats.org/officeDocument/2006/relationships/hyperlink" Target="#'Data Dictionary'!A1"/><Relationship Id="rId4" Type="http://schemas.openxmlformats.org/officeDocument/2006/relationships/hyperlink" Target="#'Cleaned Data'!A1"/><Relationship Id="rId9" Type="http://schemas.openxmlformats.org/officeDocument/2006/relationships/image" Target="../media/image2.svg"/><Relationship Id="rId14"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Dashboard!A1"/><Relationship Id="rId18" Type="http://schemas.openxmlformats.org/officeDocument/2006/relationships/chart" Target="../charts/chart3.xml"/><Relationship Id="rId3" Type="http://schemas.openxmlformats.org/officeDocument/2006/relationships/image" Target="../media/image8.svg"/><Relationship Id="rId7" Type="http://schemas.openxmlformats.org/officeDocument/2006/relationships/hyperlink" Target="#'Raw Data'!A1"/><Relationship Id="rId12" Type="http://schemas.openxmlformats.org/officeDocument/2006/relationships/image" Target="../media/image10.svg"/><Relationship Id="rId17" Type="http://schemas.openxmlformats.org/officeDocument/2006/relationships/chart" Target="../charts/chart2.xml"/><Relationship Id="rId2" Type="http://schemas.openxmlformats.org/officeDocument/2006/relationships/image" Target="../media/image7.png"/><Relationship Id="rId16" Type="http://schemas.openxmlformats.org/officeDocument/2006/relationships/chart" Target="../charts/chart1.xml"/><Relationship Id="rId20" Type="http://schemas.openxmlformats.org/officeDocument/2006/relationships/chart" Target="../charts/chart5.xml"/><Relationship Id="rId1" Type="http://schemas.openxmlformats.org/officeDocument/2006/relationships/hyperlink" Target="#Analysis!A1"/><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image" Target="../media/image6.svg"/><Relationship Id="rId10" Type="http://schemas.openxmlformats.org/officeDocument/2006/relationships/hyperlink" Target="#'Data Dictionary'!A1"/><Relationship Id="rId19" Type="http://schemas.openxmlformats.org/officeDocument/2006/relationships/chart" Target="../charts/chart4.xml"/><Relationship Id="rId4" Type="http://schemas.openxmlformats.org/officeDocument/2006/relationships/hyperlink" Target="#'Cleaned Data'!A1"/><Relationship Id="rId9" Type="http://schemas.openxmlformats.org/officeDocument/2006/relationships/image" Target="../media/image2.svg"/><Relationship Id="rId14" Type="http://schemas.openxmlformats.org/officeDocument/2006/relationships/image" Target="../media/image5.png"/></Relationships>
</file>

<file path=xl/drawings/_rels/drawing4.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Dashboard!A1"/><Relationship Id="rId3" Type="http://schemas.openxmlformats.org/officeDocument/2006/relationships/image" Target="../media/image8.svg"/><Relationship Id="rId7" Type="http://schemas.openxmlformats.org/officeDocument/2006/relationships/hyperlink" Target="#'Raw Data'!A1"/><Relationship Id="rId12" Type="http://schemas.openxmlformats.org/officeDocument/2006/relationships/image" Target="../media/image10.svg"/><Relationship Id="rId2" Type="http://schemas.openxmlformats.org/officeDocument/2006/relationships/image" Target="../media/image7.png"/><Relationship Id="rId1" Type="http://schemas.openxmlformats.org/officeDocument/2006/relationships/hyperlink" Target="#Analysis!A1"/><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image" Target="../media/image6.svg"/><Relationship Id="rId10" Type="http://schemas.openxmlformats.org/officeDocument/2006/relationships/hyperlink" Target="#'Data Dictionary'!A1"/><Relationship Id="rId4" Type="http://schemas.openxmlformats.org/officeDocument/2006/relationships/hyperlink" Target="#'Cleaned Data'!A1"/><Relationship Id="rId9" Type="http://schemas.openxmlformats.org/officeDocument/2006/relationships/image" Target="../media/image2.svg"/><Relationship Id="rId14" Type="http://schemas.openxmlformats.org/officeDocument/2006/relationships/image" Target="../media/image5.png"/></Relationships>
</file>

<file path=xl/drawings/_rels/drawing5.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Data Dictionary'!A1"/><Relationship Id="rId3" Type="http://schemas.openxmlformats.org/officeDocument/2006/relationships/image" Target="../media/image2.svg"/><Relationship Id="rId7" Type="http://schemas.openxmlformats.org/officeDocument/2006/relationships/hyperlink" Target="#Dashboard!A1"/><Relationship Id="rId12" Type="http://schemas.openxmlformats.org/officeDocument/2006/relationships/image" Target="../media/image8.svg"/><Relationship Id="rId2" Type="http://schemas.openxmlformats.org/officeDocument/2006/relationships/image" Target="../media/image1.png"/><Relationship Id="rId1" Type="http://schemas.openxmlformats.org/officeDocument/2006/relationships/hyperlink" Target="#'Raw Data'!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Analysis!A1"/><Relationship Id="rId4" Type="http://schemas.openxmlformats.org/officeDocument/2006/relationships/hyperlink" Target="#'Cleaned Data'!A1"/><Relationship Id="rId9" Type="http://schemas.openxmlformats.org/officeDocument/2006/relationships/image" Target="../media/image6.svg"/><Relationship Id="rId14" Type="http://schemas.openxmlformats.org/officeDocument/2006/relationships/image" Target="../media/image9.png"/></Relationships>
</file>

<file path=xl/drawings/_rels/drawing6.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Dashboard!A1"/><Relationship Id="rId3" Type="http://schemas.openxmlformats.org/officeDocument/2006/relationships/image" Target="../media/image8.svg"/><Relationship Id="rId7" Type="http://schemas.openxmlformats.org/officeDocument/2006/relationships/hyperlink" Target="#'Raw Data'!A1"/><Relationship Id="rId12" Type="http://schemas.openxmlformats.org/officeDocument/2006/relationships/image" Target="../media/image10.svg"/><Relationship Id="rId2" Type="http://schemas.openxmlformats.org/officeDocument/2006/relationships/image" Target="../media/image7.png"/><Relationship Id="rId1" Type="http://schemas.openxmlformats.org/officeDocument/2006/relationships/hyperlink" Target="#Analysis!A1"/><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image" Target="../media/image6.svg"/><Relationship Id="rId10" Type="http://schemas.openxmlformats.org/officeDocument/2006/relationships/hyperlink" Target="#'Data Dictionary'!A1"/><Relationship Id="rId4" Type="http://schemas.openxmlformats.org/officeDocument/2006/relationships/hyperlink" Target="#'Cleaned Data'!A1"/><Relationship Id="rId9" Type="http://schemas.openxmlformats.org/officeDocument/2006/relationships/image" Target="../media/image2.svg"/><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236220</xdr:colOff>
      <xdr:row>1</xdr:row>
      <xdr:rowOff>160020</xdr:rowOff>
    </xdr:from>
    <xdr:to>
      <xdr:col>0</xdr:col>
      <xdr:colOff>928618</xdr:colOff>
      <xdr:row>5</xdr:row>
      <xdr:rowOff>135564</xdr:rowOff>
    </xdr:to>
    <xdr:pic>
      <xdr:nvPicPr>
        <xdr:cNvPr id="22" name="Graphic 21" descr="Table outline">
          <a:hlinkClick xmlns:r="http://schemas.openxmlformats.org/officeDocument/2006/relationships" r:id="rId1"/>
          <a:extLst>
            <a:ext uri="{FF2B5EF4-FFF2-40B4-BE49-F238E27FC236}">
              <a16:creationId xmlns:a16="http://schemas.microsoft.com/office/drawing/2014/main" id="{BB042937-832F-4CB3-BEEE-1E4B15A7CF4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36220" y="335280"/>
          <a:ext cx="692398" cy="676584"/>
        </a:xfrm>
        <a:prstGeom prst="rect">
          <a:avLst/>
        </a:prstGeom>
      </xdr:spPr>
    </xdr:pic>
    <xdr:clientData/>
  </xdr:twoCellAnchor>
  <xdr:twoCellAnchor editAs="oneCell">
    <xdr:from>
      <xdr:col>0</xdr:col>
      <xdr:colOff>236220</xdr:colOff>
      <xdr:row>5</xdr:row>
      <xdr:rowOff>160020</xdr:rowOff>
    </xdr:from>
    <xdr:to>
      <xdr:col>0</xdr:col>
      <xdr:colOff>927420</xdr:colOff>
      <xdr:row>9</xdr:row>
      <xdr:rowOff>128160</xdr:rowOff>
    </xdr:to>
    <xdr:pic>
      <xdr:nvPicPr>
        <xdr:cNvPr id="23" name="Graphic 22" descr="Table with solid fill">
          <a:hlinkClick xmlns:r="http://schemas.openxmlformats.org/officeDocument/2006/relationships" r:id="rId4"/>
          <a:extLst>
            <a:ext uri="{FF2B5EF4-FFF2-40B4-BE49-F238E27FC236}">
              <a16:creationId xmlns:a16="http://schemas.microsoft.com/office/drawing/2014/main" id="{9AD0BECE-746E-48A1-A954-021F0333409D}"/>
            </a:ext>
          </a:extLst>
        </xdr:cNvPr>
        <xdr:cNvPicPr>
          <a:picLocks/>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36220" y="1036320"/>
          <a:ext cx="691200" cy="676800"/>
        </a:xfrm>
        <a:prstGeom prst="rect">
          <a:avLst/>
        </a:prstGeom>
      </xdr:spPr>
    </xdr:pic>
    <xdr:clientData/>
  </xdr:twoCellAnchor>
  <xdr:twoCellAnchor editAs="oneCell">
    <xdr:from>
      <xdr:col>0</xdr:col>
      <xdr:colOff>228600</xdr:colOff>
      <xdr:row>10</xdr:row>
      <xdr:rowOff>152400</xdr:rowOff>
    </xdr:from>
    <xdr:to>
      <xdr:col>0</xdr:col>
      <xdr:colOff>838200</xdr:colOff>
      <xdr:row>14</xdr:row>
      <xdr:rowOff>40767</xdr:rowOff>
    </xdr:to>
    <xdr:pic>
      <xdr:nvPicPr>
        <xdr:cNvPr id="25" name="Graphic 24" descr="Projector screen with solid fill">
          <a:hlinkClick xmlns:r="http://schemas.openxmlformats.org/officeDocument/2006/relationships" r:id="rId7"/>
          <a:extLst>
            <a:ext uri="{FF2B5EF4-FFF2-40B4-BE49-F238E27FC236}">
              <a16:creationId xmlns:a16="http://schemas.microsoft.com/office/drawing/2014/main" id="{8F780FC9-2DD7-44B8-A4AC-A2F5DAD7223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28600" y="1912620"/>
          <a:ext cx="609600" cy="604647"/>
        </a:xfrm>
        <a:prstGeom prst="rect">
          <a:avLst/>
        </a:prstGeom>
      </xdr:spPr>
    </xdr:pic>
    <xdr:clientData/>
  </xdr:twoCellAnchor>
  <xdr:twoCellAnchor editAs="oneCell">
    <xdr:from>
      <xdr:col>0</xdr:col>
      <xdr:colOff>243840</xdr:colOff>
      <xdr:row>15</xdr:row>
      <xdr:rowOff>137160</xdr:rowOff>
    </xdr:from>
    <xdr:to>
      <xdr:col>0</xdr:col>
      <xdr:colOff>868755</xdr:colOff>
      <xdr:row>19</xdr:row>
      <xdr:rowOff>23349</xdr:rowOff>
    </xdr:to>
    <xdr:pic>
      <xdr:nvPicPr>
        <xdr:cNvPr id="26" name="Graphic 25" descr="Research with solid fill">
          <a:hlinkClick xmlns:r="http://schemas.openxmlformats.org/officeDocument/2006/relationships" r:id="rId10"/>
          <a:extLst>
            <a:ext uri="{FF2B5EF4-FFF2-40B4-BE49-F238E27FC236}">
              <a16:creationId xmlns:a16="http://schemas.microsoft.com/office/drawing/2014/main" id="{20A5EDDC-0054-4CFA-A0AE-F4F721DE840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43840" y="2788920"/>
          <a:ext cx="624915" cy="602469"/>
        </a:xfrm>
        <a:prstGeom prst="rect">
          <a:avLst/>
        </a:prstGeom>
      </xdr:spPr>
    </xdr:pic>
    <xdr:clientData/>
  </xdr:twoCellAnchor>
  <xdr:twoCellAnchor editAs="oneCell">
    <xdr:from>
      <xdr:col>0</xdr:col>
      <xdr:colOff>251460</xdr:colOff>
      <xdr:row>20</xdr:row>
      <xdr:rowOff>30480</xdr:rowOff>
    </xdr:from>
    <xdr:to>
      <xdr:col>0</xdr:col>
      <xdr:colOff>839068</xdr:colOff>
      <xdr:row>23</xdr:row>
      <xdr:rowOff>87937</xdr:rowOff>
    </xdr:to>
    <xdr:pic>
      <xdr:nvPicPr>
        <xdr:cNvPr id="27" name="Graphic 26" descr="Open book outline">
          <a:hlinkClick xmlns:r="http://schemas.openxmlformats.org/officeDocument/2006/relationships" r:id="rId13"/>
          <a:extLst>
            <a:ext uri="{FF2B5EF4-FFF2-40B4-BE49-F238E27FC236}">
              <a16:creationId xmlns:a16="http://schemas.microsoft.com/office/drawing/2014/main" id="{1EEC5185-2DFA-49D9-87A5-517A72CC219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51460" y="3573780"/>
          <a:ext cx="587608" cy="590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233810</xdr:colOff>
      <xdr:row>15</xdr:row>
      <xdr:rowOff>90951</xdr:rowOff>
    </xdr:from>
    <xdr:to>
      <xdr:col>0</xdr:col>
      <xdr:colOff>858725</xdr:colOff>
      <xdr:row>18</xdr:row>
      <xdr:rowOff>167640</xdr:rowOff>
    </xdr:to>
    <xdr:pic>
      <xdr:nvPicPr>
        <xdr:cNvPr id="17" name="Graphic 16" descr="Research with solid fill">
          <a:hlinkClick xmlns:r="http://schemas.openxmlformats.org/officeDocument/2006/relationships" r:id="rId1"/>
          <a:extLst>
            <a:ext uri="{FF2B5EF4-FFF2-40B4-BE49-F238E27FC236}">
              <a16:creationId xmlns:a16="http://schemas.microsoft.com/office/drawing/2014/main" id="{B592547D-DC1F-49D2-B81C-DA4A90505DC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33810" y="3032271"/>
          <a:ext cx="624915" cy="602469"/>
        </a:xfrm>
        <a:prstGeom prst="rect">
          <a:avLst/>
        </a:prstGeom>
      </xdr:spPr>
    </xdr:pic>
    <xdr:clientData/>
  </xdr:twoCellAnchor>
  <xdr:twoCellAnchor editAs="oneCell">
    <xdr:from>
      <xdr:col>0</xdr:col>
      <xdr:colOff>217096</xdr:colOff>
      <xdr:row>5</xdr:row>
      <xdr:rowOff>161751</xdr:rowOff>
    </xdr:from>
    <xdr:to>
      <xdr:col>0</xdr:col>
      <xdr:colOff>908296</xdr:colOff>
      <xdr:row>9</xdr:row>
      <xdr:rowOff>137511</xdr:rowOff>
    </xdr:to>
    <xdr:pic>
      <xdr:nvPicPr>
        <xdr:cNvPr id="18" name="Graphic 17" descr="Table with solid fill">
          <a:hlinkClick xmlns:r="http://schemas.openxmlformats.org/officeDocument/2006/relationships" r:id="rId4"/>
          <a:extLst>
            <a:ext uri="{FF2B5EF4-FFF2-40B4-BE49-F238E27FC236}">
              <a16:creationId xmlns:a16="http://schemas.microsoft.com/office/drawing/2014/main" id="{C01157C5-E1B9-4B16-8C7D-7D6F7D883B57}"/>
            </a:ext>
          </a:extLst>
        </xdr:cNvPr>
        <xdr:cNvPicPr>
          <a:picLocks/>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7096" y="1350471"/>
          <a:ext cx="691200" cy="676800"/>
        </a:xfrm>
        <a:prstGeom prst="rect">
          <a:avLst/>
        </a:prstGeom>
      </xdr:spPr>
    </xdr:pic>
    <xdr:clientData/>
  </xdr:twoCellAnchor>
  <xdr:twoCellAnchor>
    <xdr:from>
      <xdr:col>0</xdr:col>
      <xdr:colOff>228600</xdr:colOff>
      <xdr:row>1</xdr:row>
      <xdr:rowOff>167716</xdr:rowOff>
    </xdr:from>
    <xdr:to>
      <xdr:col>0</xdr:col>
      <xdr:colOff>920998</xdr:colOff>
      <xdr:row>5</xdr:row>
      <xdr:rowOff>143260</xdr:rowOff>
    </xdr:to>
    <xdr:pic>
      <xdr:nvPicPr>
        <xdr:cNvPr id="19" name="Graphic 18" descr="Table outline">
          <a:hlinkClick xmlns:r="http://schemas.openxmlformats.org/officeDocument/2006/relationships" r:id="rId7"/>
          <a:extLst>
            <a:ext uri="{FF2B5EF4-FFF2-40B4-BE49-F238E27FC236}">
              <a16:creationId xmlns:a16="http://schemas.microsoft.com/office/drawing/2014/main" id="{57EA4C68-CBBB-46AD-8356-3B428976C60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28600" y="655396"/>
          <a:ext cx="692398" cy="676584"/>
        </a:xfrm>
        <a:prstGeom prst="rect">
          <a:avLst/>
        </a:prstGeom>
      </xdr:spPr>
    </xdr:pic>
    <xdr:clientData/>
  </xdr:twoCellAnchor>
  <xdr:twoCellAnchor editAs="oneCell">
    <xdr:from>
      <xdr:col>0</xdr:col>
      <xdr:colOff>250728</xdr:colOff>
      <xdr:row>20</xdr:row>
      <xdr:rowOff>38100</xdr:rowOff>
    </xdr:from>
    <xdr:to>
      <xdr:col>0</xdr:col>
      <xdr:colOff>838336</xdr:colOff>
      <xdr:row>23</xdr:row>
      <xdr:rowOff>103177</xdr:rowOff>
    </xdr:to>
    <xdr:pic>
      <xdr:nvPicPr>
        <xdr:cNvPr id="20" name="Graphic 19" descr="Open book outline">
          <a:hlinkClick xmlns:r="http://schemas.openxmlformats.org/officeDocument/2006/relationships" r:id="rId10"/>
          <a:extLst>
            <a:ext uri="{FF2B5EF4-FFF2-40B4-BE49-F238E27FC236}">
              <a16:creationId xmlns:a16="http://schemas.microsoft.com/office/drawing/2014/main" id="{DC3EE2AC-5EC6-4948-BAB5-E99D81E7B3D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50728" y="3855720"/>
          <a:ext cx="587608" cy="590857"/>
        </a:xfrm>
        <a:prstGeom prst="rect">
          <a:avLst/>
        </a:prstGeom>
      </xdr:spPr>
    </xdr:pic>
    <xdr:clientData/>
  </xdr:twoCellAnchor>
  <xdr:twoCellAnchor editAs="oneCell">
    <xdr:from>
      <xdr:col>0</xdr:col>
      <xdr:colOff>243840</xdr:colOff>
      <xdr:row>10</xdr:row>
      <xdr:rowOff>128126</xdr:rowOff>
    </xdr:from>
    <xdr:to>
      <xdr:col>0</xdr:col>
      <xdr:colOff>853440</xdr:colOff>
      <xdr:row>14</xdr:row>
      <xdr:rowOff>31733</xdr:rowOff>
    </xdr:to>
    <xdr:pic>
      <xdr:nvPicPr>
        <xdr:cNvPr id="21" name="Graphic 20" descr="Projector screen with solid fill">
          <a:hlinkClick xmlns:r="http://schemas.openxmlformats.org/officeDocument/2006/relationships" r:id="rId13"/>
          <a:extLst>
            <a:ext uri="{FF2B5EF4-FFF2-40B4-BE49-F238E27FC236}">
              <a16:creationId xmlns:a16="http://schemas.microsoft.com/office/drawing/2014/main" id="{6B4F2D70-49A5-4F3C-9AB9-208C186EF97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43840" y="2193146"/>
          <a:ext cx="609600" cy="60464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11</xdr:col>
      <xdr:colOff>563880</xdr:colOff>
      <xdr:row>1</xdr:row>
      <xdr:rowOff>68580</xdr:rowOff>
    </xdr:from>
    <xdr:to>
      <xdr:col>16</xdr:col>
      <xdr:colOff>91440</xdr:colOff>
      <xdr:row>30</xdr:row>
      <xdr:rowOff>121920</xdr:rowOff>
    </xdr:to>
    <xdr:sp macro="" textlink="">
      <xdr:nvSpPr>
        <xdr:cNvPr id="46" name="Rectangle: Rounded Corners 45">
          <a:extLst>
            <a:ext uri="{FF2B5EF4-FFF2-40B4-BE49-F238E27FC236}">
              <a16:creationId xmlns:a16="http://schemas.microsoft.com/office/drawing/2014/main" id="{8000FFD8-371D-E0E7-19AC-AE0559626832}"/>
            </a:ext>
          </a:extLst>
        </xdr:cNvPr>
        <xdr:cNvSpPr/>
      </xdr:nvSpPr>
      <xdr:spPr>
        <a:xfrm>
          <a:off x="10622280" y="426720"/>
          <a:ext cx="3665220" cy="5135880"/>
        </a:xfrm>
        <a:prstGeom prst="roundRect">
          <a:avLst/>
        </a:prstGeom>
        <a:solidFill>
          <a:schemeClr val="accent1">
            <a:lumMod val="20000"/>
            <a:lumOff val="80000"/>
          </a:schemeClr>
        </a:solidFill>
        <a:ln>
          <a:solidFill>
            <a:schemeClr val="bg1">
              <a:lumMod val="8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t>FILTERS</a:t>
          </a:r>
          <a:endParaRPr lang="en-US" sz="1200" b="1" baseline="0"/>
        </a:p>
      </xdr:txBody>
    </xdr:sp>
    <xdr:clientData/>
  </xdr:twoCellAnchor>
  <xdr:twoCellAnchor editAs="oneCell">
    <xdr:from>
      <xdr:col>12</xdr:col>
      <xdr:colOff>213360</xdr:colOff>
      <xdr:row>19</xdr:row>
      <xdr:rowOff>30880</xdr:rowOff>
    </xdr:from>
    <xdr:to>
      <xdr:col>14</xdr:col>
      <xdr:colOff>152399</xdr:colOff>
      <xdr:row>29</xdr:row>
      <xdr:rowOff>152400</xdr:rowOff>
    </xdr:to>
    <mc:AlternateContent xmlns:mc="http://schemas.openxmlformats.org/markup-compatibility/2006">
      <mc:Choice xmlns:a14="http://schemas.microsoft.com/office/drawing/2010/main" Requires="a14">
        <xdr:graphicFrame macro="">
          <xdr:nvGraphicFramePr>
            <xdr:cNvPr id="2" name="Priority 2">
              <a:extLst>
                <a:ext uri="{FF2B5EF4-FFF2-40B4-BE49-F238E27FC236}">
                  <a16:creationId xmlns:a16="http://schemas.microsoft.com/office/drawing/2014/main" id="{9DC187C5-4BF7-4E00-84BE-78C05E5E51C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iority 2"/>
            </a:graphicData>
          </a:graphic>
        </xdr:graphicFrame>
      </mc:Choice>
      <mc:Fallback>
        <xdr:sp macro="" textlink="">
          <xdr:nvSpPr>
            <xdr:cNvPr id="0" name=""/>
            <xdr:cNvSpPr>
              <a:spLocks noTextEdit="1"/>
            </xdr:cNvSpPr>
          </xdr:nvSpPr>
          <xdr:spPr>
            <a:xfrm>
              <a:off x="10835456" y="3528735"/>
              <a:ext cx="1279425" cy="18658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213360</xdr:colOff>
      <xdr:row>12</xdr:row>
      <xdr:rowOff>43848</xdr:rowOff>
    </xdr:from>
    <xdr:to>
      <xdr:col>14</xdr:col>
      <xdr:colOff>167639</xdr:colOff>
      <xdr:row>19</xdr:row>
      <xdr:rowOff>53339</xdr:rowOff>
    </xdr:to>
    <mc:AlternateContent xmlns:mc="http://schemas.openxmlformats.org/markup-compatibility/2006">
      <mc:Choice xmlns:a14="http://schemas.microsoft.com/office/drawing/2010/main" Requires="a14">
        <xdr:graphicFrame macro="">
          <xdr:nvGraphicFramePr>
            <xdr:cNvPr id="3" name="Status 2">
              <a:extLst>
                <a:ext uri="{FF2B5EF4-FFF2-40B4-BE49-F238E27FC236}">
                  <a16:creationId xmlns:a16="http://schemas.microsoft.com/office/drawing/2014/main" id="{D1F44F14-44A8-4AF5-9C22-051D7E5DF0AB}"/>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dr:sp macro="" textlink="">
          <xdr:nvSpPr>
            <xdr:cNvPr id="0" name=""/>
            <xdr:cNvSpPr>
              <a:spLocks noTextEdit="1"/>
            </xdr:cNvSpPr>
          </xdr:nvSpPr>
          <xdr:spPr>
            <a:xfrm>
              <a:off x="10835456" y="2320667"/>
              <a:ext cx="1294665" cy="12305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137160</xdr:colOff>
      <xdr:row>12</xdr:row>
      <xdr:rowOff>34224</xdr:rowOff>
    </xdr:from>
    <xdr:to>
      <xdr:col>15</xdr:col>
      <xdr:colOff>1317000</xdr:colOff>
      <xdr:row>21</xdr:row>
      <xdr:rowOff>135558</xdr:rowOff>
    </xdr:to>
    <mc:AlternateContent xmlns:mc="http://schemas.openxmlformats.org/markup-compatibility/2006">
      <mc:Choice xmlns:a14="http://schemas.microsoft.com/office/drawing/2010/main" Requires="a14">
        <xdr:graphicFrame macro="">
          <xdr:nvGraphicFramePr>
            <xdr:cNvPr id="4" name="Category 2">
              <a:extLst>
                <a:ext uri="{FF2B5EF4-FFF2-40B4-BE49-F238E27FC236}">
                  <a16:creationId xmlns:a16="http://schemas.microsoft.com/office/drawing/2014/main" id="{D6B05DD3-C042-4414-83CE-CA9A41076BA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2099642" y="2311043"/>
              <a:ext cx="1850033" cy="1671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137160</xdr:colOff>
      <xdr:row>21</xdr:row>
      <xdr:rowOff>138891</xdr:rowOff>
    </xdr:from>
    <xdr:to>
      <xdr:col>15</xdr:col>
      <xdr:colOff>1313103</xdr:colOff>
      <xdr:row>29</xdr:row>
      <xdr:rowOff>152400</xdr:rowOff>
    </xdr:to>
    <mc:AlternateContent xmlns:mc="http://schemas.openxmlformats.org/markup-compatibility/2006">
      <mc:Choice xmlns:a14="http://schemas.microsoft.com/office/drawing/2010/main" Requires="a14">
        <xdr:graphicFrame macro="">
          <xdr:nvGraphicFramePr>
            <xdr:cNvPr id="5" name="Assigned Team 2">
              <a:extLst>
                <a:ext uri="{FF2B5EF4-FFF2-40B4-BE49-F238E27FC236}">
                  <a16:creationId xmlns:a16="http://schemas.microsoft.com/office/drawing/2014/main" id="{CA21F252-EB45-4FB8-9AE9-6291B2C9568C}"/>
                </a:ext>
              </a:extLst>
            </xdr:cNvPr>
            <xdr:cNvGraphicFramePr/>
          </xdr:nvGraphicFramePr>
          <xdr:xfrm>
            <a:off x="0" y="0"/>
            <a:ext cx="0" cy="0"/>
          </xdr:xfrm>
          <a:graphic>
            <a:graphicData uri="http://schemas.microsoft.com/office/drawing/2010/slicer">
              <sle:slicer xmlns:sle="http://schemas.microsoft.com/office/drawing/2010/slicer" name="Assigned Team 2"/>
            </a:graphicData>
          </a:graphic>
        </xdr:graphicFrame>
      </mc:Choice>
      <mc:Fallback>
        <xdr:sp macro="" textlink="">
          <xdr:nvSpPr>
            <xdr:cNvPr id="0" name=""/>
            <xdr:cNvSpPr>
              <a:spLocks noTextEdit="1"/>
            </xdr:cNvSpPr>
          </xdr:nvSpPr>
          <xdr:spPr>
            <a:xfrm>
              <a:off x="12099642" y="3985614"/>
              <a:ext cx="1846136" cy="1408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218788</xdr:colOff>
      <xdr:row>4</xdr:row>
      <xdr:rowOff>22858</xdr:rowOff>
    </xdr:from>
    <xdr:to>
      <xdr:col>15</xdr:col>
      <xdr:colOff>1324865</xdr:colOff>
      <xdr:row>12</xdr:row>
      <xdr:rowOff>38366</xdr:rowOff>
    </xdr:to>
    <mc:AlternateContent xmlns:mc="http://schemas.openxmlformats.org/markup-compatibility/2006">
      <mc:Choice xmlns:a14="http://schemas.microsoft.com/office/drawing/2010/main" Requires="a14">
        <xdr:graphicFrame macro="">
          <xdr:nvGraphicFramePr>
            <xdr:cNvPr id="6" name="Customer Department 2">
              <a:extLst>
                <a:ext uri="{FF2B5EF4-FFF2-40B4-BE49-F238E27FC236}">
                  <a16:creationId xmlns:a16="http://schemas.microsoft.com/office/drawing/2014/main" id="{1C2A4254-8FA5-4E6D-9719-AFF7A240DBE0}"/>
                </a:ext>
              </a:extLst>
            </xdr:cNvPr>
            <xdr:cNvGraphicFramePr/>
          </xdr:nvGraphicFramePr>
          <xdr:xfrm>
            <a:off x="0" y="0"/>
            <a:ext cx="0" cy="0"/>
          </xdr:xfrm>
          <a:graphic>
            <a:graphicData uri="http://schemas.microsoft.com/office/drawing/2010/slicer">
              <sle:slicer xmlns:sle="http://schemas.microsoft.com/office/drawing/2010/slicer" name="Customer Department 2"/>
            </a:graphicData>
          </a:graphic>
        </xdr:graphicFrame>
      </mc:Choice>
      <mc:Fallback>
        <xdr:sp macro="" textlink="">
          <xdr:nvSpPr>
            <xdr:cNvPr id="0" name=""/>
            <xdr:cNvSpPr>
              <a:spLocks noTextEdit="1"/>
            </xdr:cNvSpPr>
          </xdr:nvSpPr>
          <xdr:spPr>
            <a:xfrm>
              <a:off x="10840884" y="904207"/>
              <a:ext cx="3116656" cy="14109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233810</xdr:colOff>
      <xdr:row>15</xdr:row>
      <xdr:rowOff>90951</xdr:rowOff>
    </xdr:from>
    <xdr:to>
      <xdr:col>0</xdr:col>
      <xdr:colOff>858725</xdr:colOff>
      <xdr:row>18</xdr:row>
      <xdr:rowOff>167640</xdr:rowOff>
    </xdr:to>
    <xdr:pic>
      <xdr:nvPicPr>
        <xdr:cNvPr id="7" name="Graphic 6" descr="Research with solid fill">
          <a:hlinkClick xmlns:r="http://schemas.openxmlformats.org/officeDocument/2006/relationships" r:id="rId1"/>
          <a:extLst>
            <a:ext uri="{FF2B5EF4-FFF2-40B4-BE49-F238E27FC236}">
              <a16:creationId xmlns:a16="http://schemas.microsoft.com/office/drawing/2014/main" id="{6087F6C3-9FC4-4670-B620-6F48866D390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33810" y="2902731"/>
          <a:ext cx="624915" cy="602469"/>
        </a:xfrm>
        <a:prstGeom prst="rect">
          <a:avLst/>
        </a:prstGeom>
      </xdr:spPr>
    </xdr:pic>
    <xdr:clientData/>
  </xdr:twoCellAnchor>
  <xdr:twoCellAnchor editAs="oneCell">
    <xdr:from>
      <xdr:col>0</xdr:col>
      <xdr:colOff>217096</xdr:colOff>
      <xdr:row>5</xdr:row>
      <xdr:rowOff>161751</xdr:rowOff>
    </xdr:from>
    <xdr:to>
      <xdr:col>0</xdr:col>
      <xdr:colOff>908296</xdr:colOff>
      <xdr:row>9</xdr:row>
      <xdr:rowOff>137511</xdr:rowOff>
    </xdr:to>
    <xdr:pic>
      <xdr:nvPicPr>
        <xdr:cNvPr id="8" name="Graphic 7" descr="Table with solid fill">
          <a:hlinkClick xmlns:r="http://schemas.openxmlformats.org/officeDocument/2006/relationships" r:id="rId4"/>
          <a:extLst>
            <a:ext uri="{FF2B5EF4-FFF2-40B4-BE49-F238E27FC236}">
              <a16:creationId xmlns:a16="http://schemas.microsoft.com/office/drawing/2014/main" id="{A0D352B9-C9A6-4234-BD7B-0B863C497139}"/>
            </a:ext>
          </a:extLst>
        </xdr:cNvPr>
        <xdr:cNvPicPr>
          <a:picLocks/>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7096" y="1220931"/>
          <a:ext cx="691200" cy="676800"/>
        </a:xfrm>
        <a:prstGeom prst="rect">
          <a:avLst/>
        </a:prstGeom>
      </xdr:spPr>
    </xdr:pic>
    <xdr:clientData/>
  </xdr:twoCellAnchor>
  <xdr:twoCellAnchor editAs="oneCell">
    <xdr:from>
      <xdr:col>0</xdr:col>
      <xdr:colOff>228600</xdr:colOff>
      <xdr:row>1</xdr:row>
      <xdr:rowOff>167716</xdr:rowOff>
    </xdr:from>
    <xdr:to>
      <xdr:col>0</xdr:col>
      <xdr:colOff>920998</xdr:colOff>
      <xdr:row>5</xdr:row>
      <xdr:rowOff>143260</xdr:rowOff>
    </xdr:to>
    <xdr:pic>
      <xdr:nvPicPr>
        <xdr:cNvPr id="9" name="Graphic 8" descr="Table outline">
          <a:hlinkClick xmlns:r="http://schemas.openxmlformats.org/officeDocument/2006/relationships" r:id="rId7"/>
          <a:extLst>
            <a:ext uri="{FF2B5EF4-FFF2-40B4-BE49-F238E27FC236}">
              <a16:creationId xmlns:a16="http://schemas.microsoft.com/office/drawing/2014/main" id="{9CC38290-8EA5-4181-8631-10A7A2B0B71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28600" y="525856"/>
          <a:ext cx="692398" cy="676584"/>
        </a:xfrm>
        <a:prstGeom prst="rect">
          <a:avLst/>
        </a:prstGeom>
      </xdr:spPr>
    </xdr:pic>
    <xdr:clientData/>
  </xdr:twoCellAnchor>
  <xdr:twoCellAnchor editAs="oneCell">
    <xdr:from>
      <xdr:col>0</xdr:col>
      <xdr:colOff>250728</xdr:colOff>
      <xdr:row>20</xdr:row>
      <xdr:rowOff>38100</xdr:rowOff>
    </xdr:from>
    <xdr:to>
      <xdr:col>0</xdr:col>
      <xdr:colOff>838336</xdr:colOff>
      <xdr:row>23</xdr:row>
      <xdr:rowOff>103177</xdr:rowOff>
    </xdr:to>
    <xdr:pic>
      <xdr:nvPicPr>
        <xdr:cNvPr id="10" name="Graphic 9" descr="Open book outline">
          <a:hlinkClick xmlns:r="http://schemas.openxmlformats.org/officeDocument/2006/relationships" r:id="rId10"/>
          <a:extLst>
            <a:ext uri="{FF2B5EF4-FFF2-40B4-BE49-F238E27FC236}">
              <a16:creationId xmlns:a16="http://schemas.microsoft.com/office/drawing/2014/main" id="{ADC23E73-546B-4ED5-92BC-1B1A0C9CB2A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50728" y="3726180"/>
          <a:ext cx="587608" cy="590857"/>
        </a:xfrm>
        <a:prstGeom prst="rect">
          <a:avLst/>
        </a:prstGeom>
      </xdr:spPr>
    </xdr:pic>
    <xdr:clientData/>
  </xdr:twoCellAnchor>
  <xdr:twoCellAnchor editAs="oneCell">
    <xdr:from>
      <xdr:col>0</xdr:col>
      <xdr:colOff>243840</xdr:colOff>
      <xdr:row>10</xdr:row>
      <xdr:rowOff>128126</xdr:rowOff>
    </xdr:from>
    <xdr:to>
      <xdr:col>0</xdr:col>
      <xdr:colOff>853440</xdr:colOff>
      <xdr:row>14</xdr:row>
      <xdr:rowOff>31733</xdr:rowOff>
    </xdr:to>
    <xdr:pic>
      <xdr:nvPicPr>
        <xdr:cNvPr id="11" name="Graphic 10" descr="Projector screen with solid fill">
          <a:hlinkClick xmlns:r="http://schemas.openxmlformats.org/officeDocument/2006/relationships" r:id="rId13"/>
          <a:extLst>
            <a:ext uri="{FF2B5EF4-FFF2-40B4-BE49-F238E27FC236}">
              <a16:creationId xmlns:a16="http://schemas.microsoft.com/office/drawing/2014/main" id="{A52117C4-957D-4589-8F9C-28E793B7E54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43840" y="2063606"/>
          <a:ext cx="609600" cy="604647"/>
        </a:xfrm>
        <a:prstGeom prst="rect">
          <a:avLst/>
        </a:prstGeom>
      </xdr:spPr>
    </xdr:pic>
    <xdr:clientData/>
  </xdr:twoCellAnchor>
  <xdr:twoCellAnchor>
    <xdr:from>
      <xdr:col>1</xdr:col>
      <xdr:colOff>152400</xdr:colOff>
      <xdr:row>1</xdr:row>
      <xdr:rowOff>121920</xdr:rowOff>
    </xdr:from>
    <xdr:to>
      <xdr:col>1</xdr:col>
      <xdr:colOff>1508760</xdr:colOff>
      <xdr:row>5</xdr:row>
      <xdr:rowOff>137160</xdr:rowOff>
    </xdr:to>
    <xdr:grpSp>
      <xdr:nvGrpSpPr>
        <xdr:cNvPr id="37" name="Group 36">
          <a:extLst>
            <a:ext uri="{FF2B5EF4-FFF2-40B4-BE49-F238E27FC236}">
              <a16:creationId xmlns:a16="http://schemas.microsoft.com/office/drawing/2014/main" id="{3CC551B5-B151-DBAE-7398-F63B8873C85A}"/>
            </a:ext>
          </a:extLst>
        </xdr:cNvPr>
        <xdr:cNvGrpSpPr/>
      </xdr:nvGrpSpPr>
      <xdr:grpSpPr>
        <a:xfrm>
          <a:off x="1162280" y="479968"/>
          <a:ext cx="1356360" cy="712975"/>
          <a:chOff x="1264920" y="480060"/>
          <a:chExt cx="2065020" cy="762000"/>
        </a:xfrm>
      </xdr:grpSpPr>
      <xdr:sp macro="" textlink="">
        <xdr:nvSpPr>
          <xdr:cNvPr id="12" name="Rectangle: Rounded Corners 11">
            <a:extLst>
              <a:ext uri="{FF2B5EF4-FFF2-40B4-BE49-F238E27FC236}">
                <a16:creationId xmlns:a16="http://schemas.microsoft.com/office/drawing/2014/main" id="{D2711D3E-2D96-43BF-9915-40521CDCFFC7}"/>
              </a:ext>
            </a:extLst>
          </xdr:cNvPr>
          <xdr:cNvSpPr/>
        </xdr:nvSpPr>
        <xdr:spPr>
          <a:xfrm>
            <a:off x="1264920" y="480060"/>
            <a:ext cx="2065020" cy="762000"/>
          </a:xfrm>
          <a:prstGeom prst="roundRect">
            <a:avLst/>
          </a:prstGeom>
          <a:ln>
            <a:solidFill>
              <a:schemeClr val="bg1">
                <a:lumMod val="8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Total</a:t>
            </a:r>
            <a:r>
              <a:rPr lang="en-US" sz="1100" baseline="0"/>
              <a:t> Tickets</a:t>
            </a:r>
          </a:p>
        </xdr:txBody>
      </xdr:sp>
      <xdr:sp macro="" textlink="Analysis!C3">
        <xdr:nvSpPr>
          <xdr:cNvPr id="17" name="TextBox 16">
            <a:extLst>
              <a:ext uri="{FF2B5EF4-FFF2-40B4-BE49-F238E27FC236}">
                <a16:creationId xmlns:a16="http://schemas.microsoft.com/office/drawing/2014/main" id="{C0F4029F-9498-49A4-A5EC-01B4A75AB560}"/>
              </a:ext>
            </a:extLst>
          </xdr:cNvPr>
          <xdr:cNvSpPr txBox="1"/>
        </xdr:nvSpPr>
        <xdr:spPr>
          <a:xfrm>
            <a:off x="1440180" y="777240"/>
            <a:ext cx="170688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018F32-66F8-4B83-B6F1-B8422FB1D5D8}" type="TxLink">
              <a:rPr lang="en-US" sz="3600" b="1" i="0" u="none" strike="noStrike">
                <a:solidFill>
                  <a:srgbClr val="000000"/>
                </a:solidFill>
                <a:latin typeface="Aharoni" panose="020F0502020204030204" pitchFamily="2" charset="-79"/>
                <a:ea typeface="ADLaM Display" panose="02010000000000000000" pitchFamily="2" charset="0"/>
                <a:cs typeface="Aharoni" panose="020F0502020204030204" pitchFamily="2" charset="-79"/>
              </a:rPr>
              <a:pPr algn="ctr"/>
              <a:t>30</a:t>
            </a:fld>
            <a:endParaRPr lang="en-US" sz="3600" b="1">
              <a:latin typeface="Aharoni" panose="020F0502020204030204" pitchFamily="2" charset="-79"/>
              <a:ea typeface="ADLaM Display" panose="02010000000000000000" pitchFamily="2" charset="0"/>
              <a:cs typeface="Aharoni" panose="020F0502020204030204" pitchFamily="2" charset="-79"/>
            </a:endParaRPr>
          </a:p>
        </xdr:txBody>
      </xdr:sp>
    </xdr:grpSp>
    <xdr:clientData/>
  </xdr:twoCellAnchor>
  <xdr:twoCellAnchor>
    <xdr:from>
      <xdr:col>1</xdr:col>
      <xdr:colOff>1653540</xdr:colOff>
      <xdr:row>1</xdr:row>
      <xdr:rowOff>129540</xdr:rowOff>
    </xdr:from>
    <xdr:to>
      <xdr:col>2</xdr:col>
      <xdr:colOff>1447800</xdr:colOff>
      <xdr:row>5</xdr:row>
      <xdr:rowOff>137160</xdr:rowOff>
    </xdr:to>
    <xdr:grpSp>
      <xdr:nvGrpSpPr>
        <xdr:cNvPr id="38" name="Group 37">
          <a:extLst>
            <a:ext uri="{FF2B5EF4-FFF2-40B4-BE49-F238E27FC236}">
              <a16:creationId xmlns:a16="http://schemas.microsoft.com/office/drawing/2014/main" id="{6ABED0F4-BEE6-532D-03D9-F862313B69BA}"/>
            </a:ext>
          </a:extLst>
        </xdr:cNvPr>
        <xdr:cNvGrpSpPr/>
      </xdr:nvGrpSpPr>
      <xdr:grpSpPr>
        <a:xfrm>
          <a:off x="2663420" y="487588"/>
          <a:ext cx="1602862" cy="705355"/>
          <a:chOff x="3451860" y="472440"/>
          <a:chExt cx="2065020" cy="762000"/>
        </a:xfrm>
      </xdr:grpSpPr>
      <xdr:sp macro="" textlink="">
        <xdr:nvSpPr>
          <xdr:cNvPr id="13" name="Rectangle: Rounded Corners 12">
            <a:extLst>
              <a:ext uri="{FF2B5EF4-FFF2-40B4-BE49-F238E27FC236}">
                <a16:creationId xmlns:a16="http://schemas.microsoft.com/office/drawing/2014/main" id="{E8CE6FEC-4590-4587-904C-3CEAE9FA426D}"/>
              </a:ext>
            </a:extLst>
          </xdr:cNvPr>
          <xdr:cNvSpPr/>
        </xdr:nvSpPr>
        <xdr:spPr>
          <a:xfrm>
            <a:off x="3451860" y="472440"/>
            <a:ext cx="2065020" cy="762000"/>
          </a:xfrm>
          <a:prstGeom prst="roundRect">
            <a:avLst/>
          </a:prstGeom>
          <a:ln>
            <a:solidFill>
              <a:schemeClr val="bg1">
                <a:lumMod val="8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Open Tickets</a:t>
            </a:r>
            <a:endParaRPr lang="en-US" sz="1100" baseline="0"/>
          </a:p>
        </xdr:txBody>
      </xdr:sp>
      <xdr:sp macro="" textlink="Analysis!C5">
        <xdr:nvSpPr>
          <xdr:cNvPr id="18" name="TextBox 17">
            <a:extLst>
              <a:ext uri="{FF2B5EF4-FFF2-40B4-BE49-F238E27FC236}">
                <a16:creationId xmlns:a16="http://schemas.microsoft.com/office/drawing/2014/main" id="{4ECA1FA0-29CD-4126-A044-0F287B2EBA26}"/>
              </a:ext>
            </a:extLst>
          </xdr:cNvPr>
          <xdr:cNvSpPr txBox="1"/>
        </xdr:nvSpPr>
        <xdr:spPr>
          <a:xfrm>
            <a:off x="3619500" y="769620"/>
            <a:ext cx="170688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E00CAC-21E0-44B5-BBA7-5CE27CEE9301}" type="TxLink">
              <a:rPr lang="en-US" sz="3600" b="1" i="0" u="none" strike="noStrike">
                <a:solidFill>
                  <a:srgbClr val="000000"/>
                </a:solidFill>
                <a:latin typeface="Aharoni" panose="02010803020104030203" pitchFamily="2" charset="-79"/>
                <a:ea typeface="ADLaM Display" panose="02010000000000000000" pitchFamily="2" charset="0"/>
                <a:cs typeface="Aharoni" panose="02010803020104030203" pitchFamily="2" charset="-79"/>
              </a:rPr>
              <a:t>6</a:t>
            </a:fld>
            <a:endParaRPr lang="en-US" sz="3600" b="1">
              <a:latin typeface="Aharoni" panose="02010803020104030203" pitchFamily="2" charset="-79"/>
              <a:ea typeface="ADLaM Display" panose="02010000000000000000" pitchFamily="2" charset="0"/>
              <a:cs typeface="Aharoni" panose="02010803020104030203" pitchFamily="2" charset="-79"/>
            </a:endParaRPr>
          </a:p>
        </xdr:txBody>
      </xdr:sp>
    </xdr:grpSp>
    <xdr:clientData/>
  </xdr:twoCellAnchor>
  <xdr:twoCellAnchor>
    <xdr:from>
      <xdr:col>2</xdr:col>
      <xdr:colOff>1577340</xdr:colOff>
      <xdr:row>1</xdr:row>
      <xdr:rowOff>129540</xdr:rowOff>
    </xdr:from>
    <xdr:to>
      <xdr:col>5</xdr:col>
      <xdr:colOff>106680</xdr:colOff>
      <xdr:row>5</xdr:row>
      <xdr:rowOff>144780</xdr:rowOff>
    </xdr:to>
    <xdr:grpSp>
      <xdr:nvGrpSpPr>
        <xdr:cNvPr id="39" name="Group 38">
          <a:extLst>
            <a:ext uri="{FF2B5EF4-FFF2-40B4-BE49-F238E27FC236}">
              <a16:creationId xmlns:a16="http://schemas.microsoft.com/office/drawing/2014/main" id="{F8243D11-8DD4-111D-C8F5-A1F5FE58B6E2}"/>
            </a:ext>
          </a:extLst>
        </xdr:cNvPr>
        <xdr:cNvGrpSpPr/>
      </xdr:nvGrpSpPr>
      <xdr:grpSpPr>
        <a:xfrm>
          <a:off x="4395822" y="487588"/>
          <a:ext cx="1641605" cy="712975"/>
          <a:chOff x="5638800" y="464820"/>
          <a:chExt cx="2065020" cy="762000"/>
        </a:xfrm>
      </xdr:grpSpPr>
      <xdr:sp macro="" textlink="">
        <xdr:nvSpPr>
          <xdr:cNvPr id="14" name="Rectangle: Rounded Corners 13">
            <a:extLst>
              <a:ext uri="{FF2B5EF4-FFF2-40B4-BE49-F238E27FC236}">
                <a16:creationId xmlns:a16="http://schemas.microsoft.com/office/drawing/2014/main" id="{DE830A77-206B-44A9-AB4D-702B1B8A56CA}"/>
              </a:ext>
            </a:extLst>
          </xdr:cNvPr>
          <xdr:cNvSpPr/>
        </xdr:nvSpPr>
        <xdr:spPr>
          <a:xfrm>
            <a:off x="5638800" y="464820"/>
            <a:ext cx="2065020" cy="762000"/>
          </a:xfrm>
          <a:prstGeom prst="roundRect">
            <a:avLst/>
          </a:prstGeom>
          <a:ln>
            <a:solidFill>
              <a:schemeClr val="bg1">
                <a:lumMod val="8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aseline="0"/>
              <a:t>Closed Tickets</a:t>
            </a:r>
          </a:p>
        </xdr:txBody>
      </xdr:sp>
      <xdr:sp macro="" textlink="Analysis!C4">
        <xdr:nvSpPr>
          <xdr:cNvPr id="19" name="TextBox 18">
            <a:extLst>
              <a:ext uri="{FF2B5EF4-FFF2-40B4-BE49-F238E27FC236}">
                <a16:creationId xmlns:a16="http://schemas.microsoft.com/office/drawing/2014/main" id="{3986F553-3B64-4DA8-8B1C-FD2D4CEB3F32}"/>
              </a:ext>
            </a:extLst>
          </xdr:cNvPr>
          <xdr:cNvSpPr txBox="1"/>
        </xdr:nvSpPr>
        <xdr:spPr>
          <a:xfrm>
            <a:off x="5783580" y="762000"/>
            <a:ext cx="170688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1E606F-F7D3-4657-9BC6-B26133FC00CF}" type="TxLink">
              <a:rPr lang="en-US" sz="3600" b="1" i="0" u="none" strike="noStrike">
                <a:solidFill>
                  <a:srgbClr val="000000"/>
                </a:solidFill>
                <a:latin typeface="Aharoni" panose="02010803020104030203" pitchFamily="2" charset="-79"/>
                <a:ea typeface="ADLaM Display" panose="02010000000000000000" pitchFamily="2" charset="0"/>
                <a:cs typeface="Aharoni" panose="02010803020104030203" pitchFamily="2" charset="-79"/>
              </a:rPr>
              <a:t>24</a:t>
            </a:fld>
            <a:endParaRPr lang="en-US" sz="3600" b="1">
              <a:latin typeface="Aharoni" panose="02010803020104030203" pitchFamily="2" charset="-79"/>
              <a:ea typeface="ADLaM Display" panose="02010000000000000000" pitchFamily="2" charset="0"/>
              <a:cs typeface="Aharoni" panose="02010803020104030203" pitchFamily="2" charset="-79"/>
            </a:endParaRPr>
          </a:p>
        </xdr:txBody>
      </xdr:sp>
    </xdr:grpSp>
    <xdr:clientData/>
  </xdr:twoCellAnchor>
  <xdr:twoCellAnchor>
    <xdr:from>
      <xdr:col>5</xdr:col>
      <xdr:colOff>213360</xdr:colOff>
      <xdr:row>1</xdr:row>
      <xdr:rowOff>129540</xdr:rowOff>
    </xdr:from>
    <xdr:to>
      <xdr:col>8</xdr:col>
      <xdr:colOff>558210</xdr:colOff>
      <xdr:row>6</xdr:row>
      <xdr:rowOff>8861</xdr:rowOff>
    </xdr:to>
    <xdr:grpSp>
      <xdr:nvGrpSpPr>
        <xdr:cNvPr id="40" name="Group 39">
          <a:extLst>
            <a:ext uri="{FF2B5EF4-FFF2-40B4-BE49-F238E27FC236}">
              <a16:creationId xmlns:a16="http://schemas.microsoft.com/office/drawing/2014/main" id="{D46D88EB-C54F-8509-A1AA-C1BA08DCA4A7}"/>
            </a:ext>
          </a:extLst>
        </xdr:cNvPr>
        <xdr:cNvGrpSpPr/>
      </xdr:nvGrpSpPr>
      <xdr:grpSpPr>
        <a:xfrm>
          <a:off x="6144107" y="487588"/>
          <a:ext cx="2355428" cy="751490"/>
          <a:chOff x="7825740" y="457200"/>
          <a:chExt cx="2065020" cy="762000"/>
        </a:xfrm>
      </xdr:grpSpPr>
      <xdr:sp macro="" textlink="">
        <xdr:nvSpPr>
          <xdr:cNvPr id="15" name="Rectangle: Rounded Corners 14">
            <a:extLst>
              <a:ext uri="{FF2B5EF4-FFF2-40B4-BE49-F238E27FC236}">
                <a16:creationId xmlns:a16="http://schemas.microsoft.com/office/drawing/2014/main" id="{1BB7251B-DCAF-4D53-ADC3-7873ED1C8C89}"/>
              </a:ext>
            </a:extLst>
          </xdr:cNvPr>
          <xdr:cNvSpPr/>
        </xdr:nvSpPr>
        <xdr:spPr>
          <a:xfrm>
            <a:off x="7825740" y="457200"/>
            <a:ext cx="2065020" cy="762000"/>
          </a:xfrm>
          <a:prstGeom prst="roundRect">
            <a:avLst/>
          </a:prstGeom>
          <a:ln>
            <a:solidFill>
              <a:schemeClr val="bg1">
                <a:lumMod val="8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SLA Breached</a:t>
            </a:r>
            <a:r>
              <a:rPr lang="en-US" sz="1100" baseline="0"/>
              <a:t> (%)</a:t>
            </a:r>
          </a:p>
        </xdr:txBody>
      </xdr:sp>
      <xdr:sp macro="" textlink="Analysis!C8">
        <xdr:nvSpPr>
          <xdr:cNvPr id="20" name="TextBox 19">
            <a:extLst>
              <a:ext uri="{FF2B5EF4-FFF2-40B4-BE49-F238E27FC236}">
                <a16:creationId xmlns:a16="http://schemas.microsoft.com/office/drawing/2014/main" id="{CF9515A5-4438-4621-A453-292262849E73}"/>
              </a:ext>
            </a:extLst>
          </xdr:cNvPr>
          <xdr:cNvSpPr txBox="1"/>
        </xdr:nvSpPr>
        <xdr:spPr>
          <a:xfrm>
            <a:off x="8023860" y="754380"/>
            <a:ext cx="170688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EBEE75-B8CA-4C06-BCD0-115E5D32C40A}" type="TxLink">
              <a:rPr lang="en-US" sz="3600" b="1" i="0" u="none" strike="noStrike">
                <a:solidFill>
                  <a:srgbClr val="000000"/>
                </a:solidFill>
                <a:latin typeface="Aharoni" panose="02010803020104030203" pitchFamily="2" charset="-79"/>
                <a:ea typeface="ADLaM Display" panose="02010000000000000000" pitchFamily="2" charset="0"/>
                <a:cs typeface="Aharoni" panose="02010803020104030203" pitchFamily="2" charset="-79"/>
              </a:rPr>
              <a:t>45.83%</a:t>
            </a:fld>
            <a:endParaRPr lang="en-US" sz="3600" b="1">
              <a:latin typeface="Aharoni" panose="02010803020104030203" pitchFamily="2" charset="-79"/>
              <a:ea typeface="ADLaM Display" panose="02010000000000000000" pitchFamily="2" charset="0"/>
              <a:cs typeface="Aharoni" panose="02010803020104030203" pitchFamily="2" charset="-79"/>
            </a:endParaRPr>
          </a:p>
        </xdr:txBody>
      </xdr:sp>
    </xdr:grpSp>
    <xdr:clientData/>
  </xdr:twoCellAnchor>
  <xdr:twoCellAnchor>
    <xdr:from>
      <xdr:col>9</xdr:col>
      <xdr:colOff>15240</xdr:colOff>
      <xdr:row>1</xdr:row>
      <xdr:rowOff>114300</xdr:rowOff>
    </xdr:from>
    <xdr:to>
      <xdr:col>11</xdr:col>
      <xdr:colOff>441961</xdr:colOff>
      <xdr:row>5</xdr:row>
      <xdr:rowOff>167640</xdr:rowOff>
    </xdr:to>
    <xdr:grpSp>
      <xdr:nvGrpSpPr>
        <xdr:cNvPr id="41" name="Group 40">
          <a:extLst>
            <a:ext uri="{FF2B5EF4-FFF2-40B4-BE49-F238E27FC236}">
              <a16:creationId xmlns:a16="http://schemas.microsoft.com/office/drawing/2014/main" id="{3E9646F4-9B6B-43E3-6866-1E8F8A655BD1}"/>
            </a:ext>
          </a:extLst>
        </xdr:cNvPr>
        <xdr:cNvGrpSpPr/>
      </xdr:nvGrpSpPr>
      <xdr:grpSpPr>
        <a:xfrm>
          <a:off x="8626758" y="472348"/>
          <a:ext cx="1767107" cy="751075"/>
          <a:chOff x="10012680" y="449580"/>
          <a:chExt cx="2065020" cy="762000"/>
        </a:xfrm>
      </xdr:grpSpPr>
      <xdr:sp macro="" textlink="">
        <xdr:nvSpPr>
          <xdr:cNvPr id="16" name="Rectangle: Rounded Corners 15">
            <a:extLst>
              <a:ext uri="{FF2B5EF4-FFF2-40B4-BE49-F238E27FC236}">
                <a16:creationId xmlns:a16="http://schemas.microsoft.com/office/drawing/2014/main" id="{CFF90C60-F639-4366-AB7E-981E61E5A26A}"/>
              </a:ext>
            </a:extLst>
          </xdr:cNvPr>
          <xdr:cNvSpPr/>
        </xdr:nvSpPr>
        <xdr:spPr>
          <a:xfrm>
            <a:off x="10012680" y="449580"/>
            <a:ext cx="2065020" cy="762000"/>
          </a:xfrm>
          <a:prstGeom prst="roundRect">
            <a:avLst/>
          </a:prstGeom>
          <a:ln>
            <a:solidFill>
              <a:schemeClr val="bg1">
                <a:lumMod val="8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Average Resolution</a:t>
            </a:r>
            <a:endParaRPr lang="en-US" sz="1100" baseline="0"/>
          </a:p>
        </xdr:txBody>
      </xdr:sp>
      <xdr:sp macro="" textlink="Analysis!C9">
        <xdr:nvSpPr>
          <xdr:cNvPr id="21" name="TextBox 20">
            <a:extLst>
              <a:ext uri="{FF2B5EF4-FFF2-40B4-BE49-F238E27FC236}">
                <a16:creationId xmlns:a16="http://schemas.microsoft.com/office/drawing/2014/main" id="{0ADFF0D0-D0F9-40CD-B266-B0CD07AB5317}"/>
              </a:ext>
            </a:extLst>
          </xdr:cNvPr>
          <xdr:cNvSpPr txBox="1"/>
        </xdr:nvSpPr>
        <xdr:spPr>
          <a:xfrm>
            <a:off x="10195560" y="746760"/>
            <a:ext cx="170688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A0D5C6-EE27-47E5-B29F-A1482AB747AD}" type="TxLink">
              <a:rPr lang="en-US" sz="3600" b="1" i="0" u="none" strike="noStrike">
                <a:solidFill>
                  <a:srgbClr val="000000"/>
                </a:solidFill>
                <a:latin typeface="Aharoni" panose="02010803020104030203" pitchFamily="2" charset="-79"/>
                <a:ea typeface="ADLaM Display" panose="02010000000000000000" pitchFamily="2" charset="0"/>
                <a:cs typeface="Aharoni" panose="02010803020104030203" pitchFamily="2" charset="-79"/>
              </a:rPr>
              <a:t>15.84</a:t>
            </a:fld>
            <a:endParaRPr lang="en-US" sz="3600" b="1">
              <a:latin typeface="Aharoni" panose="02010803020104030203" pitchFamily="2" charset="-79"/>
              <a:ea typeface="ADLaM Display" panose="02010000000000000000" pitchFamily="2" charset="0"/>
              <a:cs typeface="Aharoni" panose="02010803020104030203" pitchFamily="2" charset="-79"/>
            </a:endParaRPr>
          </a:p>
        </xdr:txBody>
      </xdr:sp>
    </xdr:grpSp>
    <xdr:clientData/>
  </xdr:twoCellAnchor>
  <xdr:twoCellAnchor>
    <xdr:from>
      <xdr:col>1</xdr:col>
      <xdr:colOff>137160</xdr:colOff>
      <xdr:row>6</xdr:row>
      <xdr:rowOff>137160</xdr:rowOff>
    </xdr:from>
    <xdr:to>
      <xdr:col>3</xdr:col>
      <xdr:colOff>30480</xdr:colOff>
      <xdr:row>17</xdr:row>
      <xdr:rowOff>167640</xdr:rowOff>
    </xdr:to>
    <xdr:grpSp>
      <xdr:nvGrpSpPr>
        <xdr:cNvPr id="22" name="Group 21">
          <a:extLst>
            <a:ext uri="{FF2B5EF4-FFF2-40B4-BE49-F238E27FC236}">
              <a16:creationId xmlns:a16="http://schemas.microsoft.com/office/drawing/2014/main" id="{34A858E5-E832-4B0E-B90B-5F32C1B9499C}"/>
            </a:ext>
          </a:extLst>
        </xdr:cNvPr>
        <xdr:cNvGrpSpPr/>
      </xdr:nvGrpSpPr>
      <xdr:grpSpPr>
        <a:xfrm>
          <a:off x="1147040" y="1367377"/>
          <a:ext cx="3473801" cy="1949251"/>
          <a:chOff x="1272540" y="1379220"/>
          <a:chExt cx="3749040" cy="1973580"/>
        </a:xfrm>
      </xdr:grpSpPr>
      <xdr:sp macro="" textlink="">
        <xdr:nvSpPr>
          <xdr:cNvPr id="23" name="Rectangle: Rounded Corners 22">
            <a:extLst>
              <a:ext uri="{FF2B5EF4-FFF2-40B4-BE49-F238E27FC236}">
                <a16:creationId xmlns:a16="http://schemas.microsoft.com/office/drawing/2014/main" id="{72DEAD4D-CA3E-2876-A1EC-BBB0E4FAEC52}"/>
              </a:ext>
            </a:extLst>
          </xdr:cNvPr>
          <xdr:cNvSpPr/>
        </xdr:nvSpPr>
        <xdr:spPr>
          <a:xfrm>
            <a:off x="1272540" y="1379220"/>
            <a:ext cx="3749040" cy="1973580"/>
          </a:xfrm>
          <a:prstGeom prst="roundRect">
            <a:avLst/>
          </a:prstGeom>
          <a:ln>
            <a:solidFill>
              <a:schemeClr val="bg1">
                <a:lumMod val="8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a:t>Monthly</a:t>
            </a:r>
            <a:r>
              <a:rPr lang="en-US" sz="1200" b="1" baseline="0"/>
              <a:t> Ticket Trends</a:t>
            </a:r>
          </a:p>
        </xdr:txBody>
      </xdr:sp>
      <xdr:graphicFrame macro="">
        <xdr:nvGraphicFramePr>
          <xdr:cNvPr id="24" name="Chart 23">
            <a:extLst>
              <a:ext uri="{FF2B5EF4-FFF2-40B4-BE49-F238E27FC236}">
                <a16:creationId xmlns:a16="http://schemas.microsoft.com/office/drawing/2014/main" id="{E51E7FCE-70C1-B4C3-BB64-E3A02EE90A89}"/>
              </a:ext>
            </a:extLst>
          </xdr:cNvPr>
          <xdr:cNvGraphicFramePr>
            <a:graphicFrameLocks/>
          </xdr:cNvGraphicFramePr>
        </xdr:nvGraphicFramePr>
        <xdr:xfrm>
          <a:off x="1409700" y="1705918"/>
          <a:ext cx="3467100" cy="1593543"/>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1</xdr:col>
      <xdr:colOff>138486</xdr:colOff>
      <xdr:row>18</xdr:row>
      <xdr:rowOff>110731</xdr:rowOff>
    </xdr:from>
    <xdr:to>
      <xdr:col>2</xdr:col>
      <xdr:colOff>960120</xdr:colOff>
      <xdr:row>30</xdr:row>
      <xdr:rowOff>137160</xdr:rowOff>
    </xdr:to>
    <xdr:grpSp>
      <xdr:nvGrpSpPr>
        <xdr:cNvPr id="25" name="Group 24">
          <a:extLst>
            <a:ext uri="{FF2B5EF4-FFF2-40B4-BE49-F238E27FC236}">
              <a16:creationId xmlns:a16="http://schemas.microsoft.com/office/drawing/2014/main" id="{768734FA-5DF0-4C5C-A0C8-5E156E818CDD}"/>
            </a:ext>
          </a:extLst>
        </xdr:cNvPr>
        <xdr:cNvGrpSpPr/>
      </xdr:nvGrpSpPr>
      <xdr:grpSpPr>
        <a:xfrm>
          <a:off x="1148366" y="3434153"/>
          <a:ext cx="2630236" cy="2119634"/>
          <a:chOff x="1272540" y="3489960"/>
          <a:chExt cx="3749040" cy="1981200"/>
        </a:xfrm>
      </xdr:grpSpPr>
      <xdr:sp macro="" textlink="">
        <xdr:nvSpPr>
          <xdr:cNvPr id="26" name="Rectangle: Rounded Corners 25">
            <a:extLst>
              <a:ext uri="{FF2B5EF4-FFF2-40B4-BE49-F238E27FC236}">
                <a16:creationId xmlns:a16="http://schemas.microsoft.com/office/drawing/2014/main" id="{8891120D-DDA2-70AF-2626-DAAE5E409600}"/>
              </a:ext>
            </a:extLst>
          </xdr:cNvPr>
          <xdr:cNvSpPr/>
        </xdr:nvSpPr>
        <xdr:spPr>
          <a:xfrm>
            <a:off x="1272540" y="3489960"/>
            <a:ext cx="3749040" cy="1981200"/>
          </a:xfrm>
          <a:prstGeom prst="roundRect">
            <a:avLst/>
          </a:prstGeom>
          <a:ln>
            <a:solidFill>
              <a:schemeClr val="bg1">
                <a:lumMod val="8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a:t>Tickets by Priority</a:t>
            </a:r>
            <a:endParaRPr lang="en-US" sz="1200" b="1" baseline="0"/>
          </a:p>
        </xdr:txBody>
      </xdr:sp>
      <xdr:graphicFrame macro="">
        <xdr:nvGraphicFramePr>
          <xdr:cNvPr id="27" name="Chart 26">
            <a:extLst>
              <a:ext uri="{FF2B5EF4-FFF2-40B4-BE49-F238E27FC236}">
                <a16:creationId xmlns:a16="http://schemas.microsoft.com/office/drawing/2014/main" id="{384F6087-CA9C-AC81-67E9-164FD5CE4BEA}"/>
              </a:ext>
            </a:extLst>
          </xdr:cNvPr>
          <xdr:cNvGraphicFramePr>
            <a:graphicFrameLocks/>
          </xdr:cNvGraphicFramePr>
        </xdr:nvGraphicFramePr>
        <xdr:xfrm>
          <a:off x="1440180" y="3832860"/>
          <a:ext cx="3436620" cy="1584960"/>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2</xdr:col>
      <xdr:colOff>1099397</xdr:colOff>
      <xdr:row>18</xdr:row>
      <xdr:rowOff>140335</xdr:rowOff>
    </xdr:from>
    <xdr:to>
      <xdr:col>8</xdr:col>
      <xdr:colOff>320040</xdr:colOff>
      <xdr:row>30</xdr:row>
      <xdr:rowOff>129540</xdr:rowOff>
    </xdr:to>
    <xdr:grpSp>
      <xdr:nvGrpSpPr>
        <xdr:cNvPr id="28" name="Group 27">
          <a:extLst>
            <a:ext uri="{FF2B5EF4-FFF2-40B4-BE49-F238E27FC236}">
              <a16:creationId xmlns:a16="http://schemas.microsoft.com/office/drawing/2014/main" id="{3E689FDA-4424-41FA-937E-768D58690070}"/>
            </a:ext>
          </a:extLst>
        </xdr:cNvPr>
        <xdr:cNvGrpSpPr/>
      </xdr:nvGrpSpPr>
      <xdr:grpSpPr>
        <a:xfrm>
          <a:off x="3917879" y="3463757"/>
          <a:ext cx="4343486" cy="2082410"/>
          <a:chOff x="5143712" y="1330960"/>
          <a:chExt cx="4629150" cy="2574290"/>
        </a:xfrm>
      </xdr:grpSpPr>
      <xdr:sp macro="" textlink="">
        <xdr:nvSpPr>
          <xdr:cNvPr id="29" name="Rectangle: Rounded Corners 28">
            <a:extLst>
              <a:ext uri="{FF2B5EF4-FFF2-40B4-BE49-F238E27FC236}">
                <a16:creationId xmlns:a16="http://schemas.microsoft.com/office/drawing/2014/main" id="{120E9B01-6EDB-EEA5-31FF-64A6EE91F896}"/>
              </a:ext>
            </a:extLst>
          </xdr:cNvPr>
          <xdr:cNvSpPr/>
        </xdr:nvSpPr>
        <xdr:spPr>
          <a:xfrm>
            <a:off x="5143712" y="1330960"/>
            <a:ext cx="4629150" cy="2574290"/>
          </a:xfrm>
          <a:prstGeom prst="roundRect">
            <a:avLst/>
          </a:prstGeom>
          <a:ln>
            <a:solidFill>
              <a:schemeClr val="bg1">
                <a:lumMod val="8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a:t>Tickets by Category</a:t>
            </a:r>
            <a:endParaRPr lang="en-US" sz="1200" b="1" baseline="0"/>
          </a:p>
        </xdr:txBody>
      </xdr:sp>
      <xdr:graphicFrame macro="">
        <xdr:nvGraphicFramePr>
          <xdr:cNvPr id="30" name="Chart 29">
            <a:extLst>
              <a:ext uri="{FF2B5EF4-FFF2-40B4-BE49-F238E27FC236}">
                <a16:creationId xmlns:a16="http://schemas.microsoft.com/office/drawing/2014/main" id="{99C9C482-D983-076F-9B4D-C9BFE40056E5}"/>
              </a:ext>
            </a:extLst>
          </xdr:cNvPr>
          <xdr:cNvGraphicFramePr>
            <a:graphicFrameLocks/>
          </xdr:cNvGraphicFramePr>
        </xdr:nvGraphicFramePr>
        <xdr:xfrm>
          <a:off x="5273849" y="1793754"/>
          <a:ext cx="4411240" cy="2024721"/>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8</xdr:col>
      <xdr:colOff>419100</xdr:colOff>
      <xdr:row>6</xdr:row>
      <xdr:rowOff>114300</xdr:rowOff>
    </xdr:from>
    <xdr:to>
      <xdr:col>11</xdr:col>
      <xdr:colOff>426720</xdr:colOff>
      <xdr:row>30</xdr:row>
      <xdr:rowOff>99060</xdr:rowOff>
    </xdr:to>
    <xdr:grpSp>
      <xdr:nvGrpSpPr>
        <xdr:cNvPr id="31" name="Group 30">
          <a:extLst>
            <a:ext uri="{FF2B5EF4-FFF2-40B4-BE49-F238E27FC236}">
              <a16:creationId xmlns:a16="http://schemas.microsoft.com/office/drawing/2014/main" id="{91BD0F33-4DBC-4986-BE07-3EB309AE8F69}"/>
            </a:ext>
          </a:extLst>
        </xdr:cNvPr>
        <xdr:cNvGrpSpPr/>
      </xdr:nvGrpSpPr>
      <xdr:grpSpPr>
        <a:xfrm>
          <a:off x="8360425" y="1344517"/>
          <a:ext cx="2018199" cy="4171170"/>
          <a:chOff x="9949815" y="1310640"/>
          <a:chExt cx="2087880" cy="4107180"/>
        </a:xfrm>
      </xdr:grpSpPr>
      <xdr:sp macro="" textlink="">
        <xdr:nvSpPr>
          <xdr:cNvPr id="32" name="Rectangle: Rounded Corners 31">
            <a:extLst>
              <a:ext uri="{FF2B5EF4-FFF2-40B4-BE49-F238E27FC236}">
                <a16:creationId xmlns:a16="http://schemas.microsoft.com/office/drawing/2014/main" id="{9D1328E2-BBAC-2B7E-5AC3-3166FD074D0E}"/>
              </a:ext>
            </a:extLst>
          </xdr:cNvPr>
          <xdr:cNvSpPr/>
        </xdr:nvSpPr>
        <xdr:spPr>
          <a:xfrm>
            <a:off x="9949815" y="1310640"/>
            <a:ext cx="2087880" cy="4107180"/>
          </a:xfrm>
          <a:prstGeom prst="roundRect">
            <a:avLst/>
          </a:prstGeom>
          <a:ln>
            <a:solidFill>
              <a:schemeClr val="bg1">
                <a:lumMod val="8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a:t>Monthly</a:t>
            </a:r>
            <a:r>
              <a:rPr lang="en-US" sz="1200" b="1" baseline="0"/>
              <a:t> Ticket Trends</a:t>
            </a:r>
          </a:p>
        </xdr:txBody>
      </xdr:sp>
      <xdr:graphicFrame macro="">
        <xdr:nvGraphicFramePr>
          <xdr:cNvPr id="33" name="Chart 32">
            <a:extLst>
              <a:ext uri="{FF2B5EF4-FFF2-40B4-BE49-F238E27FC236}">
                <a16:creationId xmlns:a16="http://schemas.microsoft.com/office/drawing/2014/main" id="{6B985641-4D50-42BB-8BC8-F5D7574B1C65}"/>
              </a:ext>
            </a:extLst>
          </xdr:cNvPr>
          <xdr:cNvGraphicFramePr>
            <a:graphicFrameLocks/>
          </xdr:cNvGraphicFramePr>
        </xdr:nvGraphicFramePr>
        <xdr:xfrm>
          <a:off x="10017550" y="1705186"/>
          <a:ext cx="1808858" cy="3575897"/>
        </xdr:xfrm>
        <a:graphic>
          <a:graphicData uri="http://schemas.openxmlformats.org/drawingml/2006/chart">
            <c:chart xmlns:c="http://schemas.openxmlformats.org/drawingml/2006/chart" xmlns:r="http://schemas.openxmlformats.org/officeDocument/2006/relationships" r:id="rId19"/>
          </a:graphicData>
        </a:graphic>
      </xdr:graphicFrame>
    </xdr:grpSp>
    <xdr:clientData/>
  </xdr:twoCellAnchor>
  <xdr:twoCellAnchor>
    <xdr:from>
      <xdr:col>3</xdr:col>
      <xdr:colOff>137160</xdr:colOff>
      <xdr:row>6</xdr:row>
      <xdr:rowOff>132714</xdr:rowOff>
    </xdr:from>
    <xdr:to>
      <xdr:col>8</xdr:col>
      <xdr:colOff>289560</xdr:colOff>
      <xdr:row>18</xdr:row>
      <xdr:rowOff>0</xdr:rowOff>
    </xdr:to>
    <xdr:grpSp>
      <xdr:nvGrpSpPr>
        <xdr:cNvPr id="34" name="Group 33">
          <a:extLst>
            <a:ext uri="{FF2B5EF4-FFF2-40B4-BE49-F238E27FC236}">
              <a16:creationId xmlns:a16="http://schemas.microsoft.com/office/drawing/2014/main" id="{AE31E2CD-F215-4BB9-BF80-B37833F1544C}"/>
            </a:ext>
          </a:extLst>
        </xdr:cNvPr>
        <xdr:cNvGrpSpPr/>
      </xdr:nvGrpSpPr>
      <xdr:grpSpPr>
        <a:xfrm>
          <a:off x="4727521" y="1362931"/>
          <a:ext cx="3503364" cy="1960491"/>
          <a:chOff x="5196205" y="3411219"/>
          <a:chExt cx="4556337" cy="1973580"/>
        </a:xfrm>
      </xdr:grpSpPr>
      <xdr:sp macro="" textlink="">
        <xdr:nvSpPr>
          <xdr:cNvPr id="35" name="Rectangle: Rounded Corners 34">
            <a:extLst>
              <a:ext uri="{FF2B5EF4-FFF2-40B4-BE49-F238E27FC236}">
                <a16:creationId xmlns:a16="http://schemas.microsoft.com/office/drawing/2014/main" id="{06FA18A4-472E-0E12-59FC-31D3A9318841}"/>
              </a:ext>
            </a:extLst>
          </xdr:cNvPr>
          <xdr:cNvSpPr/>
        </xdr:nvSpPr>
        <xdr:spPr>
          <a:xfrm>
            <a:off x="5196205" y="3411219"/>
            <a:ext cx="4556337" cy="1973580"/>
          </a:xfrm>
          <a:prstGeom prst="roundRect">
            <a:avLst/>
          </a:prstGeom>
          <a:ln>
            <a:solidFill>
              <a:schemeClr val="bg1">
                <a:lumMod val="8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rtl="0"/>
            <a:r>
              <a:rPr lang="en-US" sz="1200" b="1" i="0" baseline="0">
                <a:solidFill>
                  <a:schemeClr val="dk1"/>
                </a:solidFill>
                <a:effectLst/>
                <a:latin typeface="+mn-lt"/>
                <a:ea typeface="+mn-ea"/>
                <a:cs typeface="+mn-cs"/>
              </a:rPr>
              <a:t>Average Resolution Hours by Priority</a:t>
            </a:r>
            <a:endParaRPr lang="en-US" sz="1200" b="1">
              <a:effectLst/>
            </a:endParaRPr>
          </a:p>
        </xdr:txBody>
      </xdr:sp>
      <xdr:graphicFrame macro="">
        <xdr:nvGraphicFramePr>
          <xdr:cNvPr id="36" name="Chart 35">
            <a:extLst>
              <a:ext uri="{FF2B5EF4-FFF2-40B4-BE49-F238E27FC236}">
                <a16:creationId xmlns:a16="http://schemas.microsoft.com/office/drawing/2014/main" id="{73FA7DBA-409D-D815-38C1-3AE13CFA45AA}"/>
              </a:ext>
            </a:extLst>
          </xdr:cNvPr>
          <xdr:cNvGraphicFramePr>
            <a:graphicFrameLocks/>
          </xdr:cNvGraphicFramePr>
        </xdr:nvGraphicFramePr>
        <xdr:xfrm>
          <a:off x="5426075" y="3788833"/>
          <a:ext cx="4165600" cy="1587500"/>
        </xdr:xfrm>
        <a:graphic>
          <a:graphicData uri="http://schemas.openxmlformats.org/drawingml/2006/chart">
            <c:chart xmlns:c="http://schemas.openxmlformats.org/drawingml/2006/chart" xmlns:r="http://schemas.openxmlformats.org/officeDocument/2006/relationships" r:id="rId20"/>
          </a:graphicData>
        </a:graphic>
      </xdr:graphicFrame>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233810</xdr:colOff>
      <xdr:row>15</xdr:row>
      <xdr:rowOff>90951</xdr:rowOff>
    </xdr:from>
    <xdr:to>
      <xdr:col>0</xdr:col>
      <xdr:colOff>858725</xdr:colOff>
      <xdr:row>18</xdr:row>
      <xdr:rowOff>160020</xdr:rowOff>
    </xdr:to>
    <xdr:pic>
      <xdr:nvPicPr>
        <xdr:cNvPr id="2" name="Graphic 1" descr="Research with solid fill">
          <a:hlinkClick xmlns:r="http://schemas.openxmlformats.org/officeDocument/2006/relationships" r:id="rId1"/>
          <a:extLst>
            <a:ext uri="{FF2B5EF4-FFF2-40B4-BE49-F238E27FC236}">
              <a16:creationId xmlns:a16="http://schemas.microsoft.com/office/drawing/2014/main" id="{B1CE6810-2237-45F1-9035-5B6D995CB60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33810" y="3032271"/>
          <a:ext cx="624915" cy="602469"/>
        </a:xfrm>
        <a:prstGeom prst="rect">
          <a:avLst/>
        </a:prstGeom>
      </xdr:spPr>
    </xdr:pic>
    <xdr:clientData/>
  </xdr:twoCellAnchor>
  <xdr:twoCellAnchor editAs="oneCell">
    <xdr:from>
      <xdr:col>0</xdr:col>
      <xdr:colOff>217096</xdr:colOff>
      <xdr:row>5</xdr:row>
      <xdr:rowOff>161751</xdr:rowOff>
    </xdr:from>
    <xdr:to>
      <xdr:col>0</xdr:col>
      <xdr:colOff>908296</xdr:colOff>
      <xdr:row>9</xdr:row>
      <xdr:rowOff>137511</xdr:rowOff>
    </xdr:to>
    <xdr:pic>
      <xdr:nvPicPr>
        <xdr:cNvPr id="3" name="Graphic 2" descr="Table with solid fill">
          <a:hlinkClick xmlns:r="http://schemas.openxmlformats.org/officeDocument/2006/relationships" r:id="rId4"/>
          <a:extLst>
            <a:ext uri="{FF2B5EF4-FFF2-40B4-BE49-F238E27FC236}">
              <a16:creationId xmlns:a16="http://schemas.microsoft.com/office/drawing/2014/main" id="{646F4A19-8AF0-48B0-A3D8-FBCE08999D1F}"/>
            </a:ext>
          </a:extLst>
        </xdr:cNvPr>
        <xdr:cNvPicPr>
          <a:picLocks/>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7096" y="1350471"/>
          <a:ext cx="691200" cy="676800"/>
        </a:xfrm>
        <a:prstGeom prst="rect">
          <a:avLst/>
        </a:prstGeom>
      </xdr:spPr>
    </xdr:pic>
    <xdr:clientData/>
  </xdr:twoCellAnchor>
  <xdr:twoCellAnchor editAs="oneCell">
    <xdr:from>
      <xdr:col>0</xdr:col>
      <xdr:colOff>228600</xdr:colOff>
      <xdr:row>1</xdr:row>
      <xdr:rowOff>167716</xdr:rowOff>
    </xdr:from>
    <xdr:to>
      <xdr:col>0</xdr:col>
      <xdr:colOff>920998</xdr:colOff>
      <xdr:row>5</xdr:row>
      <xdr:rowOff>143260</xdr:rowOff>
    </xdr:to>
    <xdr:pic>
      <xdr:nvPicPr>
        <xdr:cNvPr id="4" name="Graphic 3" descr="Table outline">
          <a:hlinkClick xmlns:r="http://schemas.openxmlformats.org/officeDocument/2006/relationships" r:id="rId7"/>
          <a:extLst>
            <a:ext uri="{FF2B5EF4-FFF2-40B4-BE49-F238E27FC236}">
              <a16:creationId xmlns:a16="http://schemas.microsoft.com/office/drawing/2014/main" id="{A5C8160F-7DF8-4C9B-A3F3-0651638C1BA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28600" y="655396"/>
          <a:ext cx="692398" cy="676584"/>
        </a:xfrm>
        <a:prstGeom prst="rect">
          <a:avLst/>
        </a:prstGeom>
      </xdr:spPr>
    </xdr:pic>
    <xdr:clientData/>
  </xdr:twoCellAnchor>
  <xdr:twoCellAnchor editAs="oneCell">
    <xdr:from>
      <xdr:col>0</xdr:col>
      <xdr:colOff>250728</xdr:colOff>
      <xdr:row>20</xdr:row>
      <xdr:rowOff>38100</xdr:rowOff>
    </xdr:from>
    <xdr:to>
      <xdr:col>0</xdr:col>
      <xdr:colOff>838336</xdr:colOff>
      <xdr:row>23</xdr:row>
      <xdr:rowOff>103177</xdr:rowOff>
    </xdr:to>
    <xdr:pic>
      <xdr:nvPicPr>
        <xdr:cNvPr id="5" name="Graphic 4" descr="Open book outline">
          <a:hlinkClick xmlns:r="http://schemas.openxmlformats.org/officeDocument/2006/relationships" r:id="rId10"/>
          <a:extLst>
            <a:ext uri="{FF2B5EF4-FFF2-40B4-BE49-F238E27FC236}">
              <a16:creationId xmlns:a16="http://schemas.microsoft.com/office/drawing/2014/main" id="{80C4C62A-5EC3-45BD-9926-2872E3F2E2E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50728" y="3855720"/>
          <a:ext cx="587608" cy="590857"/>
        </a:xfrm>
        <a:prstGeom prst="rect">
          <a:avLst/>
        </a:prstGeom>
      </xdr:spPr>
    </xdr:pic>
    <xdr:clientData/>
  </xdr:twoCellAnchor>
  <xdr:twoCellAnchor editAs="oneCell">
    <xdr:from>
      <xdr:col>0</xdr:col>
      <xdr:colOff>243840</xdr:colOff>
      <xdr:row>10</xdr:row>
      <xdr:rowOff>128126</xdr:rowOff>
    </xdr:from>
    <xdr:to>
      <xdr:col>0</xdr:col>
      <xdr:colOff>853440</xdr:colOff>
      <xdr:row>14</xdr:row>
      <xdr:rowOff>31733</xdr:rowOff>
    </xdr:to>
    <xdr:pic>
      <xdr:nvPicPr>
        <xdr:cNvPr id="7" name="Graphic 6" descr="Projector screen with solid fill">
          <a:hlinkClick xmlns:r="http://schemas.openxmlformats.org/officeDocument/2006/relationships" r:id="rId13"/>
          <a:extLst>
            <a:ext uri="{FF2B5EF4-FFF2-40B4-BE49-F238E27FC236}">
              <a16:creationId xmlns:a16="http://schemas.microsoft.com/office/drawing/2014/main" id="{7203AB45-509B-4F72-9A63-7067CCA899B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43840" y="2193146"/>
          <a:ext cx="609600" cy="60464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213360</xdr:colOff>
      <xdr:row>1</xdr:row>
      <xdr:rowOff>160020</xdr:rowOff>
    </xdr:from>
    <xdr:to>
      <xdr:col>0</xdr:col>
      <xdr:colOff>905758</xdr:colOff>
      <xdr:row>5</xdr:row>
      <xdr:rowOff>137908</xdr:rowOff>
    </xdr:to>
    <xdr:pic>
      <xdr:nvPicPr>
        <xdr:cNvPr id="12" name="Graphic 11" descr="Table outline">
          <a:hlinkClick xmlns:r="http://schemas.openxmlformats.org/officeDocument/2006/relationships" r:id="rId1"/>
          <a:extLst>
            <a:ext uri="{FF2B5EF4-FFF2-40B4-BE49-F238E27FC236}">
              <a16:creationId xmlns:a16="http://schemas.microsoft.com/office/drawing/2014/main" id="{E766F940-094D-47FB-9865-2184865C3DE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13360" y="647700"/>
          <a:ext cx="692398" cy="678928"/>
        </a:xfrm>
        <a:prstGeom prst="rect">
          <a:avLst/>
        </a:prstGeom>
      </xdr:spPr>
    </xdr:pic>
    <xdr:clientData/>
  </xdr:twoCellAnchor>
  <xdr:twoCellAnchor editAs="oneCell">
    <xdr:from>
      <xdr:col>0</xdr:col>
      <xdr:colOff>213360</xdr:colOff>
      <xdr:row>6</xdr:row>
      <xdr:rowOff>0</xdr:rowOff>
    </xdr:from>
    <xdr:to>
      <xdr:col>0</xdr:col>
      <xdr:colOff>904560</xdr:colOff>
      <xdr:row>9</xdr:row>
      <xdr:rowOff>145745</xdr:rowOff>
    </xdr:to>
    <xdr:pic>
      <xdr:nvPicPr>
        <xdr:cNvPr id="13" name="Graphic 12" descr="Table with solid fill">
          <a:hlinkClick xmlns:r="http://schemas.openxmlformats.org/officeDocument/2006/relationships" r:id="rId4"/>
          <a:extLst>
            <a:ext uri="{FF2B5EF4-FFF2-40B4-BE49-F238E27FC236}">
              <a16:creationId xmlns:a16="http://schemas.microsoft.com/office/drawing/2014/main" id="{D78554EB-E8AC-4009-85F1-585C287C9E62}"/>
            </a:ext>
          </a:extLst>
        </xdr:cNvPr>
        <xdr:cNvPicPr>
          <a:picLocks/>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3360" y="1363980"/>
          <a:ext cx="691200" cy="679145"/>
        </a:xfrm>
        <a:prstGeom prst="rect">
          <a:avLst/>
        </a:prstGeom>
      </xdr:spPr>
    </xdr:pic>
    <xdr:clientData/>
  </xdr:twoCellAnchor>
  <xdr:twoCellAnchor editAs="oneCell">
    <xdr:from>
      <xdr:col>0</xdr:col>
      <xdr:colOff>243840</xdr:colOff>
      <xdr:row>10</xdr:row>
      <xdr:rowOff>175260</xdr:rowOff>
    </xdr:from>
    <xdr:to>
      <xdr:col>0</xdr:col>
      <xdr:colOff>853440</xdr:colOff>
      <xdr:row>14</xdr:row>
      <xdr:rowOff>65972</xdr:rowOff>
    </xdr:to>
    <xdr:pic>
      <xdr:nvPicPr>
        <xdr:cNvPr id="14" name="Graphic 13" descr="Projector screen with solid fill">
          <a:hlinkClick xmlns:r="http://schemas.openxmlformats.org/officeDocument/2006/relationships" r:id="rId7"/>
          <a:extLst>
            <a:ext uri="{FF2B5EF4-FFF2-40B4-BE49-F238E27FC236}">
              <a16:creationId xmlns:a16="http://schemas.microsoft.com/office/drawing/2014/main" id="{D0B3933A-8B27-4BE8-A1C1-456ED8D872B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43840" y="2247900"/>
          <a:ext cx="609600" cy="606992"/>
        </a:xfrm>
        <a:prstGeom prst="rect">
          <a:avLst/>
        </a:prstGeom>
      </xdr:spPr>
    </xdr:pic>
    <xdr:clientData/>
  </xdr:twoCellAnchor>
  <xdr:twoCellAnchor editAs="oneCell">
    <xdr:from>
      <xdr:col>0</xdr:col>
      <xdr:colOff>236220</xdr:colOff>
      <xdr:row>15</xdr:row>
      <xdr:rowOff>137160</xdr:rowOff>
    </xdr:from>
    <xdr:to>
      <xdr:col>0</xdr:col>
      <xdr:colOff>861135</xdr:colOff>
      <xdr:row>19</xdr:row>
      <xdr:rowOff>25107</xdr:rowOff>
    </xdr:to>
    <xdr:pic>
      <xdr:nvPicPr>
        <xdr:cNvPr id="15" name="Graphic 14" descr="Research with solid fill">
          <a:hlinkClick xmlns:r="http://schemas.openxmlformats.org/officeDocument/2006/relationships" r:id="rId10"/>
          <a:extLst>
            <a:ext uri="{FF2B5EF4-FFF2-40B4-BE49-F238E27FC236}">
              <a16:creationId xmlns:a16="http://schemas.microsoft.com/office/drawing/2014/main" id="{9689B9F5-D18C-4470-84C1-3A160CADDAD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36220" y="3101340"/>
          <a:ext cx="624915" cy="604227"/>
        </a:xfrm>
        <a:prstGeom prst="rect">
          <a:avLst/>
        </a:prstGeom>
      </xdr:spPr>
    </xdr:pic>
    <xdr:clientData/>
  </xdr:twoCellAnchor>
  <xdr:twoCellAnchor editAs="oneCell">
    <xdr:from>
      <xdr:col>0</xdr:col>
      <xdr:colOff>251460</xdr:colOff>
      <xdr:row>20</xdr:row>
      <xdr:rowOff>22860</xdr:rowOff>
    </xdr:from>
    <xdr:to>
      <xdr:col>0</xdr:col>
      <xdr:colOff>839068</xdr:colOff>
      <xdr:row>23</xdr:row>
      <xdr:rowOff>82076</xdr:rowOff>
    </xdr:to>
    <xdr:pic>
      <xdr:nvPicPr>
        <xdr:cNvPr id="16" name="Graphic 15" descr="Open book outline">
          <a:hlinkClick xmlns:r="http://schemas.openxmlformats.org/officeDocument/2006/relationships" r:id="rId13"/>
          <a:extLst>
            <a:ext uri="{FF2B5EF4-FFF2-40B4-BE49-F238E27FC236}">
              <a16:creationId xmlns:a16="http://schemas.microsoft.com/office/drawing/2014/main" id="{C929B679-B0C7-46E2-BC59-AA0F158E7E2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51460" y="3878580"/>
          <a:ext cx="587608" cy="59261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233810</xdr:colOff>
      <xdr:row>15</xdr:row>
      <xdr:rowOff>90951</xdr:rowOff>
    </xdr:from>
    <xdr:to>
      <xdr:col>0</xdr:col>
      <xdr:colOff>858725</xdr:colOff>
      <xdr:row>18</xdr:row>
      <xdr:rowOff>167640</xdr:rowOff>
    </xdr:to>
    <xdr:pic>
      <xdr:nvPicPr>
        <xdr:cNvPr id="2" name="Graphic 1" descr="Research with solid fill">
          <a:hlinkClick xmlns:r="http://schemas.openxmlformats.org/officeDocument/2006/relationships" r:id="rId1"/>
          <a:extLst>
            <a:ext uri="{FF2B5EF4-FFF2-40B4-BE49-F238E27FC236}">
              <a16:creationId xmlns:a16="http://schemas.microsoft.com/office/drawing/2014/main" id="{22DB9A52-5CFB-40D8-9C93-76E788F215F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33810" y="3032271"/>
          <a:ext cx="624915" cy="602469"/>
        </a:xfrm>
        <a:prstGeom prst="rect">
          <a:avLst/>
        </a:prstGeom>
      </xdr:spPr>
    </xdr:pic>
    <xdr:clientData/>
  </xdr:twoCellAnchor>
  <xdr:twoCellAnchor editAs="oneCell">
    <xdr:from>
      <xdr:col>0</xdr:col>
      <xdr:colOff>217096</xdr:colOff>
      <xdr:row>5</xdr:row>
      <xdr:rowOff>161751</xdr:rowOff>
    </xdr:from>
    <xdr:to>
      <xdr:col>0</xdr:col>
      <xdr:colOff>908296</xdr:colOff>
      <xdr:row>9</xdr:row>
      <xdr:rowOff>137511</xdr:rowOff>
    </xdr:to>
    <xdr:pic>
      <xdr:nvPicPr>
        <xdr:cNvPr id="3" name="Graphic 2" descr="Table with solid fill">
          <a:hlinkClick xmlns:r="http://schemas.openxmlformats.org/officeDocument/2006/relationships" r:id="rId4"/>
          <a:extLst>
            <a:ext uri="{FF2B5EF4-FFF2-40B4-BE49-F238E27FC236}">
              <a16:creationId xmlns:a16="http://schemas.microsoft.com/office/drawing/2014/main" id="{E8D8C146-3969-4F4C-8246-CD31ED821C8D}"/>
            </a:ext>
          </a:extLst>
        </xdr:cNvPr>
        <xdr:cNvPicPr>
          <a:picLocks/>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7096" y="1350471"/>
          <a:ext cx="691200" cy="676800"/>
        </a:xfrm>
        <a:prstGeom prst="rect">
          <a:avLst/>
        </a:prstGeom>
      </xdr:spPr>
    </xdr:pic>
    <xdr:clientData/>
  </xdr:twoCellAnchor>
  <xdr:twoCellAnchor>
    <xdr:from>
      <xdr:col>0</xdr:col>
      <xdr:colOff>228600</xdr:colOff>
      <xdr:row>1</xdr:row>
      <xdr:rowOff>167716</xdr:rowOff>
    </xdr:from>
    <xdr:to>
      <xdr:col>0</xdr:col>
      <xdr:colOff>920998</xdr:colOff>
      <xdr:row>5</xdr:row>
      <xdr:rowOff>143260</xdr:rowOff>
    </xdr:to>
    <xdr:pic>
      <xdr:nvPicPr>
        <xdr:cNvPr id="4" name="Graphic 3" descr="Table outline">
          <a:hlinkClick xmlns:r="http://schemas.openxmlformats.org/officeDocument/2006/relationships" r:id="rId7"/>
          <a:extLst>
            <a:ext uri="{FF2B5EF4-FFF2-40B4-BE49-F238E27FC236}">
              <a16:creationId xmlns:a16="http://schemas.microsoft.com/office/drawing/2014/main" id="{56908AB0-9198-40E3-8C35-32D8DE4BFF5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28600" y="655396"/>
          <a:ext cx="692398" cy="676584"/>
        </a:xfrm>
        <a:prstGeom prst="rect">
          <a:avLst/>
        </a:prstGeom>
      </xdr:spPr>
    </xdr:pic>
    <xdr:clientData/>
  </xdr:twoCellAnchor>
  <xdr:twoCellAnchor editAs="oneCell">
    <xdr:from>
      <xdr:col>0</xdr:col>
      <xdr:colOff>250728</xdr:colOff>
      <xdr:row>20</xdr:row>
      <xdr:rowOff>38100</xdr:rowOff>
    </xdr:from>
    <xdr:to>
      <xdr:col>0</xdr:col>
      <xdr:colOff>838336</xdr:colOff>
      <xdr:row>23</xdr:row>
      <xdr:rowOff>103177</xdr:rowOff>
    </xdr:to>
    <xdr:pic>
      <xdr:nvPicPr>
        <xdr:cNvPr id="5" name="Graphic 4" descr="Open book outline">
          <a:hlinkClick xmlns:r="http://schemas.openxmlformats.org/officeDocument/2006/relationships" r:id="rId10"/>
          <a:extLst>
            <a:ext uri="{FF2B5EF4-FFF2-40B4-BE49-F238E27FC236}">
              <a16:creationId xmlns:a16="http://schemas.microsoft.com/office/drawing/2014/main" id="{52CB0035-370C-4555-98DF-673784ADAB5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50728" y="3855720"/>
          <a:ext cx="587608" cy="590857"/>
        </a:xfrm>
        <a:prstGeom prst="rect">
          <a:avLst/>
        </a:prstGeom>
      </xdr:spPr>
    </xdr:pic>
    <xdr:clientData/>
  </xdr:twoCellAnchor>
  <xdr:twoCellAnchor editAs="oneCell">
    <xdr:from>
      <xdr:col>0</xdr:col>
      <xdr:colOff>243840</xdr:colOff>
      <xdr:row>10</xdr:row>
      <xdr:rowOff>128126</xdr:rowOff>
    </xdr:from>
    <xdr:to>
      <xdr:col>0</xdr:col>
      <xdr:colOff>853440</xdr:colOff>
      <xdr:row>14</xdr:row>
      <xdr:rowOff>31733</xdr:rowOff>
    </xdr:to>
    <xdr:pic>
      <xdr:nvPicPr>
        <xdr:cNvPr id="6" name="Graphic 5" descr="Projector screen with solid fill">
          <a:hlinkClick xmlns:r="http://schemas.openxmlformats.org/officeDocument/2006/relationships" r:id="rId13"/>
          <a:extLst>
            <a:ext uri="{FF2B5EF4-FFF2-40B4-BE49-F238E27FC236}">
              <a16:creationId xmlns:a16="http://schemas.microsoft.com/office/drawing/2014/main" id="{9FC23B0D-CB83-437F-ABF5-11B706CD201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43840" y="2193146"/>
          <a:ext cx="609600" cy="60464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ur Alisha" refreshedDate="46200.605379976849" createdVersion="8" refreshedVersion="8" minRefreshableVersion="3" recordCount="30" xr:uid="{FC95A270-6855-492F-9046-FDBF4ADB5374}">
  <cacheSource type="worksheet">
    <worksheetSource name="tbl_clean_tickets"/>
  </cacheSource>
  <cacheFields count="15">
    <cacheField name="Ticket ID" numFmtId="0">
      <sharedItems/>
    </cacheField>
    <cacheField name="Created Date" numFmtId="22">
      <sharedItems containsSemiMixedTypes="0" containsNonDate="0" containsDate="1" containsString="0" minDate="2026-01-03T09:15:00" maxDate="2026-03-15T08:55:00"/>
    </cacheField>
    <cacheField name="Resolved Date" numFmtId="0">
      <sharedItems containsNonDate="0" containsDate="1" containsString="0" containsBlank="1" minDate="2026-01-03T15:45:00" maxDate="2026-03-15T13:25:00"/>
    </cacheField>
    <cacheField name="Priority" numFmtId="0">
      <sharedItems count="4">
        <s v="High"/>
        <s v="Medium"/>
        <s v="Low"/>
        <s v="Critical"/>
      </sharedItems>
    </cacheField>
    <cacheField name="Status" numFmtId="0">
      <sharedItems count="2">
        <s v="Closed"/>
        <s v="Open"/>
      </sharedItems>
    </cacheField>
    <cacheField name="Category" numFmtId="0">
      <sharedItems count="5">
        <s v="Network"/>
        <s v="Software"/>
        <s v="Hardware"/>
        <s v="Access Request"/>
        <s v="Password Reset"/>
      </sharedItems>
    </cacheField>
    <cacheField name="Assigned Team" numFmtId="0">
      <sharedItems count="4">
        <s v="Network Team"/>
        <s v="Application Team"/>
        <s v="Desktop Support"/>
        <s v="Service Desk"/>
      </sharedItems>
    </cacheField>
    <cacheField name="Channel" numFmtId="0">
      <sharedItems/>
    </cacheField>
    <cacheField name="Customer Department" numFmtId="0">
      <sharedItems count="4">
        <s v="Finance"/>
        <s v="HR"/>
        <s v="Operations"/>
        <s v="Sales"/>
      </sharedItems>
    </cacheField>
    <cacheField name="SLA Hours" numFmtId="0">
      <sharedItems containsSemiMixedTypes="0" containsString="0" containsNumber="1" containsInteger="1" minValue="4" maxValue="48"/>
    </cacheField>
    <cacheField name="Created Month" numFmtId="0">
      <sharedItems count="3">
        <s v="Jan 2026"/>
        <s v="Feb 2026"/>
        <s v="Mar 2026"/>
      </sharedItems>
    </cacheField>
    <cacheField name="Resolution Hours" numFmtId="0">
      <sharedItems containsMixedTypes="1" containsNumber="1" minValue="0.75" maxValue="48.666666666744277"/>
    </cacheField>
    <cacheField name="SLA Status" numFmtId="0">
      <sharedItems count="3">
        <s v="Within SLA"/>
        <s v="Breached"/>
        <s v="Open"/>
      </sharedItems>
    </cacheField>
    <cacheField name="Ticket Age Hours" numFmtId="0">
      <sharedItems containsMixedTypes="1" containsNumber="1" minValue="2591.7694583333214" maxValue="4152.269458333205"/>
    </cacheField>
    <cacheField name="Priority Rank" numFmtId="0">
      <sharedItems containsSemiMixedTypes="0" containsString="0" containsNumber="1" containsInteger="1" minValue="1" maxValue="4"/>
    </cacheField>
  </cacheFields>
  <extLst>
    <ext xmlns:x14="http://schemas.microsoft.com/office/spreadsheetml/2009/9/main" uri="{725AE2AE-9491-48be-B2B4-4EB974FC3084}">
      <x14:pivotCacheDefinition pivotCacheId="9488091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TCK-001"/>
    <d v="2026-01-03T09:15:00"/>
    <d v="2026-01-03T15:45:00"/>
    <x v="0"/>
    <x v="0"/>
    <x v="0"/>
    <x v="0"/>
    <s v="Email"/>
    <x v="0"/>
    <n v="8"/>
    <x v="0"/>
    <n v="6.5000000000582077"/>
    <x v="0"/>
    <s v=" "/>
    <n v="2"/>
  </r>
  <r>
    <s v="TCK-002"/>
    <d v="2026-01-04T10:20:00"/>
    <d v="2026-01-06T11:00:00"/>
    <x v="1"/>
    <x v="0"/>
    <x v="1"/>
    <x v="1"/>
    <s v="Portal"/>
    <x v="1"/>
    <n v="24"/>
    <x v="0"/>
    <n v="48.666666666744277"/>
    <x v="1"/>
    <s v=" "/>
    <n v="3"/>
  </r>
  <r>
    <s v="TCK-003"/>
    <d v="2026-01-05T14:10:00"/>
    <m/>
    <x v="0"/>
    <x v="1"/>
    <x v="2"/>
    <x v="2"/>
    <s v="Phone"/>
    <x v="2"/>
    <n v="8"/>
    <x v="0"/>
    <s v=""/>
    <x v="2"/>
    <n v="4152.269458333205"/>
    <n v="2"/>
  </r>
  <r>
    <s v="TCK-004"/>
    <d v="2026-01-07T08:50:00"/>
    <d v="2026-01-07T12:30:00"/>
    <x v="2"/>
    <x v="0"/>
    <x v="3"/>
    <x v="3"/>
    <s v="Portal"/>
    <x v="3"/>
    <n v="48"/>
    <x v="0"/>
    <n v="3.6666666667442769"/>
    <x v="0"/>
    <s v=" "/>
    <n v="4"/>
  </r>
  <r>
    <s v="TCK-005"/>
    <d v="2026-01-08T16:05:00"/>
    <d v="2026-01-09T18:40:00"/>
    <x v="1"/>
    <x v="0"/>
    <x v="1"/>
    <x v="1"/>
    <s v="Email"/>
    <x v="0"/>
    <n v="24"/>
    <x v="0"/>
    <n v="26.583333333372138"/>
    <x v="1"/>
    <s v=" "/>
    <n v="3"/>
  </r>
  <r>
    <s v="TCK-006"/>
    <d v="2026-01-10T11:30:00"/>
    <d v="2026-01-10T20:00:00"/>
    <x v="3"/>
    <x v="0"/>
    <x v="0"/>
    <x v="0"/>
    <s v="Phone"/>
    <x v="2"/>
    <n v="4"/>
    <x v="0"/>
    <n v="8.5000000001164153"/>
    <x v="1"/>
    <s v=" "/>
    <n v="1"/>
  </r>
  <r>
    <s v="TCK-007"/>
    <d v="2026-01-12T09:45:00"/>
    <d v="2026-01-13T10:10:00"/>
    <x v="2"/>
    <x v="0"/>
    <x v="4"/>
    <x v="3"/>
    <s v="Portal"/>
    <x v="1"/>
    <n v="48"/>
    <x v="0"/>
    <n v="24.416666666627862"/>
    <x v="0"/>
    <s v=" "/>
    <n v="4"/>
  </r>
  <r>
    <s v="TCK-008"/>
    <d v="2026-01-14T13:25:00"/>
    <m/>
    <x v="1"/>
    <x v="1"/>
    <x v="2"/>
    <x v="2"/>
    <s v="Email"/>
    <x v="3"/>
    <n v="24"/>
    <x v="0"/>
    <s v=""/>
    <x v="2"/>
    <n v="3937.019458333205"/>
    <n v="3"/>
  </r>
  <r>
    <s v="TCK-009"/>
    <d v="2026-01-15T15:00:00"/>
    <d v="2026-01-16T09:20:00"/>
    <x v="0"/>
    <x v="0"/>
    <x v="1"/>
    <x v="1"/>
    <s v="Phone"/>
    <x v="0"/>
    <n v="8"/>
    <x v="0"/>
    <n v="18.333333333372138"/>
    <x v="1"/>
    <s v=" "/>
    <n v="2"/>
  </r>
  <r>
    <s v="TCK-010"/>
    <d v="2026-01-17T10:10:00"/>
    <d v="2026-01-17T12:00:00"/>
    <x v="2"/>
    <x v="0"/>
    <x v="4"/>
    <x v="3"/>
    <s v="Portal"/>
    <x v="2"/>
    <n v="48"/>
    <x v="0"/>
    <n v="1.8333333333721384"/>
    <x v="0"/>
    <s v=" "/>
    <n v="4"/>
  </r>
  <r>
    <s v="TCK-011"/>
    <d v="2026-02-01T09:00:00"/>
    <d v="2026-02-01T13:00:00"/>
    <x v="0"/>
    <x v="0"/>
    <x v="0"/>
    <x v="0"/>
    <s v="Email"/>
    <x v="0"/>
    <n v="8"/>
    <x v="1"/>
    <n v="3.9999999999417923"/>
    <x v="0"/>
    <s v=" "/>
    <n v="2"/>
  </r>
  <r>
    <s v="TCK-012"/>
    <d v="2026-02-02T10:15:00"/>
    <d v="2026-02-03T16:20:00"/>
    <x v="1"/>
    <x v="0"/>
    <x v="1"/>
    <x v="1"/>
    <s v="Portal"/>
    <x v="1"/>
    <n v="24"/>
    <x v="1"/>
    <n v="30.083333333255723"/>
    <x v="1"/>
    <s v=" "/>
    <n v="3"/>
  </r>
  <r>
    <s v="TCK-013"/>
    <d v="2026-02-04T11:30:00"/>
    <m/>
    <x v="3"/>
    <x v="1"/>
    <x v="0"/>
    <x v="0"/>
    <s v="Phone"/>
    <x v="2"/>
    <n v="4"/>
    <x v="1"/>
    <s v=""/>
    <x v="2"/>
    <n v="3434.9361250000075"/>
    <n v="1"/>
  </r>
  <r>
    <s v="TCK-014"/>
    <d v="2026-02-05T14:45:00"/>
    <d v="2026-02-05T15:30:00"/>
    <x v="2"/>
    <x v="0"/>
    <x v="4"/>
    <x v="3"/>
    <s v="Portal"/>
    <x v="3"/>
    <n v="48"/>
    <x v="1"/>
    <n v="0.75"/>
    <x v="0"/>
    <s v=" "/>
    <n v="4"/>
  </r>
  <r>
    <s v="TCK-015"/>
    <d v="2026-02-06T16:10:00"/>
    <d v="2026-02-07T10:40:00"/>
    <x v="1"/>
    <x v="0"/>
    <x v="2"/>
    <x v="2"/>
    <s v="Email"/>
    <x v="0"/>
    <n v="24"/>
    <x v="1"/>
    <n v="18.500000000058208"/>
    <x v="0"/>
    <s v=" "/>
    <n v="3"/>
  </r>
  <r>
    <s v="TCK-016"/>
    <d v="2026-02-08T08:30:00"/>
    <d v="2026-02-08T14:00:00"/>
    <x v="0"/>
    <x v="0"/>
    <x v="1"/>
    <x v="1"/>
    <s v="Phone"/>
    <x v="2"/>
    <n v="8"/>
    <x v="1"/>
    <n v="5.5000000001164153"/>
    <x v="0"/>
    <s v=" "/>
    <n v="2"/>
  </r>
  <r>
    <s v="TCK-017"/>
    <d v="2026-02-10T13:20:00"/>
    <d v="2026-02-11T17:00:00"/>
    <x v="1"/>
    <x v="0"/>
    <x v="3"/>
    <x v="3"/>
    <s v="Portal"/>
    <x v="1"/>
    <n v="24"/>
    <x v="1"/>
    <n v="27.666666666744277"/>
    <x v="1"/>
    <s v=" "/>
    <n v="3"/>
  </r>
  <r>
    <s v="TCK-018"/>
    <d v="2026-02-12T15:50:00"/>
    <m/>
    <x v="0"/>
    <x v="1"/>
    <x v="0"/>
    <x v="0"/>
    <s v="Email"/>
    <x v="3"/>
    <n v="8"/>
    <x v="1"/>
    <s v=""/>
    <x v="2"/>
    <n v="3238.6027916666935"/>
    <n v="2"/>
  </r>
  <r>
    <s v="TCK-019"/>
    <d v="2026-02-14T10:05:00"/>
    <d v="2026-02-14T11:00:00"/>
    <x v="2"/>
    <x v="0"/>
    <x v="4"/>
    <x v="3"/>
    <s v="Portal"/>
    <x v="0"/>
    <n v="48"/>
    <x v="1"/>
    <n v="0.91666666668606922"/>
    <x v="0"/>
    <s v=" "/>
    <n v="4"/>
  </r>
  <r>
    <s v="TCK-020"/>
    <d v="2026-02-15T09:35:00"/>
    <d v="2026-02-16T12:15:00"/>
    <x v="1"/>
    <x v="0"/>
    <x v="1"/>
    <x v="1"/>
    <s v="Email"/>
    <x v="1"/>
    <n v="24"/>
    <x v="1"/>
    <n v="26.666666666627862"/>
    <x v="1"/>
    <s v=" "/>
    <n v="3"/>
  </r>
  <r>
    <s v="TCK-021"/>
    <d v="2026-03-01T08:40:00"/>
    <d v="2026-03-01T18:00:00"/>
    <x v="3"/>
    <x v="0"/>
    <x v="0"/>
    <x v="0"/>
    <s v="Phone"/>
    <x v="2"/>
    <n v="4"/>
    <x v="2"/>
    <n v="9.3333333333721384"/>
    <x v="1"/>
    <s v=" "/>
    <n v="1"/>
  </r>
  <r>
    <s v="TCK-022"/>
    <d v="2026-03-02T09:25:00"/>
    <d v="2026-03-03T10:30:00"/>
    <x v="0"/>
    <x v="0"/>
    <x v="2"/>
    <x v="2"/>
    <s v="Email"/>
    <x v="0"/>
    <n v="8"/>
    <x v="2"/>
    <n v="25.083333333372138"/>
    <x v="1"/>
    <s v=" "/>
    <n v="2"/>
  </r>
  <r>
    <s v="TCK-023"/>
    <d v="2026-03-03T11:15:00"/>
    <m/>
    <x v="1"/>
    <x v="1"/>
    <x v="1"/>
    <x v="1"/>
    <s v="Portal"/>
    <x v="1"/>
    <n v="24"/>
    <x v="2"/>
    <s v=""/>
    <x v="2"/>
    <n v="2787.1861249999492"/>
    <n v="3"/>
  </r>
  <r>
    <s v="TCK-024"/>
    <d v="2026-03-05T13:00:00"/>
    <d v="2026-03-05T14:10:00"/>
    <x v="2"/>
    <x v="0"/>
    <x v="3"/>
    <x v="3"/>
    <s v="Portal"/>
    <x v="3"/>
    <n v="48"/>
    <x v="2"/>
    <n v="1.1666666668024845"/>
    <x v="0"/>
    <s v=" "/>
    <n v="4"/>
  </r>
  <r>
    <s v="TCK-025"/>
    <d v="2026-03-06T15:30:00"/>
    <d v="2026-03-08T09:00:00"/>
    <x v="0"/>
    <x v="0"/>
    <x v="0"/>
    <x v="0"/>
    <s v="Phone"/>
    <x v="2"/>
    <n v="8"/>
    <x v="2"/>
    <n v="41.499999999941792"/>
    <x v="1"/>
    <s v=" "/>
    <n v="2"/>
  </r>
  <r>
    <s v="TCK-026"/>
    <d v="2026-03-08T10:50:00"/>
    <d v="2026-03-09T12:30:00"/>
    <x v="1"/>
    <x v="0"/>
    <x v="2"/>
    <x v="2"/>
    <s v="Email"/>
    <x v="0"/>
    <n v="24"/>
    <x v="2"/>
    <n v="25.666666666686069"/>
    <x v="1"/>
    <s v=" "/>
    <n v="3"/>
  </r>
  <r>
    <s v="TCK-027"/>
    <d v="2026-03-10T09:10:00"/>
    <d v="2026-03-10T10:00:00"/>
    <x v="2"/>
    <x v="0"/>
    <x v="4"/>
    <x v="3"/>
    <s v="Portal"/>
    <x v="1"/>
    <n v="48"/>
    <x v="2"/>
    <n v="0.83333333325572312"/>
    <x v="0"/>
    <s v=" "/>
    <n v="4"/>
  </r>
  <r>
    <s v="TCK-028"/>
    <d v="2026-03-11T14:40:00"/>
    <m/>
    <x v="3"/>
    <x v="1"/>
    <x v="1"/>
    <x v="1"/>
    <s v="Phone"/>
    <x v="2"/>
    <n v="4"/>
    <x v="2"/>
    <s v=""/>
    <x v="2"/>
    <n v="2591.7694583333214"/>
    <n v="1"/>
  </r>
  <r>
    <s v="TCK-029"/>
    <d v="2026-03-13T16:20:00"/>
    <d v="2026-03-14T11:45:00"/>
    <x v="1"/>
    <x v="0"/>
    <x v="0"/>
    <x v="0"/>
    <s v="Email"/>
    <x v="3"/>
    <n v="24"/>
    <x v="2"/>
    <n v="19.416666666744277"/>
    <x v="0"/>
    <s v=" "/>
    <n v="3"/>
  </r>
  <r>
    <s v="TCK-030"/>
    <d v="2026-03-15T08:55:00"/>
    <d v="2026-03-15T13:25:00"/>
    <x v="0"/>
    <x v="0"/>
    <x v="1"/>
    <x v="1"/>
    <s v="Portal"/>
    <x v="0"/>
    <n v="8"/>
    <x v="2"/>
    <n v="4.5"/>
    <x v="0"/>
    <s v=" "/>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995364-E735-496E-BF97-7AE27987D0AC}" name="Tickets by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3:C17" firstHeaderRow="1" firstDataRow="1" firstDataCol="1"/>
  <pivotFields count="15">
    <pivotField dataField="1" showAll="0"/>
    <pivotField numFmtId="22" showAll="0"/>
    <pivotField showAll="0"/>
    <pivotField showAll="0">
      <items count="5">
        <item x="3"/>
        <item x="0"/>
        <item x="2"/>
        <item x="1"/>
        <item t="default"/>
      </items>
    </pivotField>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s>
  <rowFields count="1">
    <field x="10"/>
  </rowFields>
  <rowItems count="4">
    <i>
      <x/>
    </i>
    <i>
      <x v="1"/>
    </i>
    <i>
      <x v="2"/>
    </i>
    <i t="grand">
      <x/>
    </i>
  </rowItems>
  <colItems count="1">
    <i/>
  </colItems>
  <dataFields count="1">
    <dataField name="Count of Ticket ID" fld="0" subtotal="count" baseField="0" baseItem="0"/>
  </dataFields>
  <formats count="12">
    <format dxfId="30">
      <pivotArea type="all" dataOnly="0" outline="0" fieldPosition="0"/>
    </format>
    <format dxfId="29">
      <pivotArea outline="0" collapsedLevelsAreSubtotals="1" fieldPosition="0"/>
    </format>
    <format dxfId="28">
      <pivotArea field="10" type="button" dataOnly="0" labelOnly="1" outline="0" axis="axisRow" fieldPosition="0"/>
    </format>
    <format dxfId="27">
      <pivotArea dataOnly="0" labelOnly="1" fieldPosition="0">
        <references count="1">
          <reference field="10" count="0"/>
        </references>
      </pivotArea>
    </format>
    <format dxfId="26">
      <pivotArea dataOnly="0" labelOnly="1" grandRow="1" outline="0"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10" type="button" dataOnly="0" labelOnly="1" outline="0" axis="axisRow" fieldPosition="0"/>
    </format>
    <format dxfId="21">
      <pivotArea dataOnly="0" labelOnly="1" fieldPosition="0">
        <references count="1">
          <reference field="10" count="0"/>
        </references>
      </pivotArea>
    </format>
    <format dxfId="20">
      <pivotArea dataOnly="0" labelOnly="1" grandRow="1" outline="0" fieldPosition="0"/>
    </format>
    <format dxfId="19">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93C3F0-23B6-439B-84F0-48AF7681CEF1}" name="Average Resolution Hours by Prior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3:I18" firstHeaderRow="1" firstDataRow="1" firstDataCol="1"/>
  <pivotFields count="15">
    <pivotField showAll="0"/>
    <pivotField numFmtId="22"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s>
  <rowFields count="1">
    <field x="3"/>
  </rowFields>
  <rowItems count="5">
    <i>
      <x/>
    </i>
    <i>
      <x v="1"/>
    </i>
    <i>
      <x v="2"/>
    </i>
    <i>
      <x v="3"/>
    </i>
    <i t="grand">
      <x/>
    </i>
  </rowItems>
  <colItems count="1">
    <i/>
  </colItems>
  <dataFields count="1">
    <dataField name="Average of Resolution Hours" fld="11" subtotal="average" baseField="3" baseItem="0"/>
  </dataFields>
  <formats count="12">
    <format dxfId="42">
      <pivotArea type="all" dataOnly="0" outline="0" fieldPosition="0"/>
    </format>
    <format dxfId="41">
      <pivotArea outline="0" collapsedLevelsAreSubtotals="1" fieldPosition="0"/>
    </format>
    <format dxfId="40">
      <pivotArea field="3" type="button" dataOnly="0" labelOnly="1" outline="0" axis="axisRow" fieldPosition="0"/>
    </format>
    <format dxfId="39">
      <pivotArea dataOnly="0" labelOnly="1" fieldPosition="0">
        <references count="1">
          <reference field="3" count="0"/>
        </references>
      </pivotArea>
    </format>
    <format dxfId="38">
      <pivotArea dataOnly="0" labelOnly="1" grandRow="1" outline="0"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field="3" type="button" dataOnly="0" labelOnly="1" outline="0" axis="axisRow" fieldPosition="0"/>
    </format>
    <format dxfId="33">
      <pivotArea dataOnly="0" labelOnly="1" fieldPosition="0">
        <references count="1">
          <reference field="3" count="0"/>
        </references>
      </pivotArea>
    </format>
    <format dxfId="32">
      <pivotArea dataOnly="0" labelOnly="1" grandRow="1" outline="0" fieldPosition="0"/>
    </format>
    <format dxfId="31">
      <pivotArea dataOnly="0" labelOnly="1" outline="0" axis="axisValues" fieldPosition="0"/>
    </format>
  </formats>
  <chartFormats count="1">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16E594-9EFD-4130-95D0-FE78DAF1C308}" name="SLA Status by Assigned Tea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21:I27" firstHeaderRow="1" firstDataRow="2" firstDataCol="1"/>
  <pivotFields count="15">
    <pivotField dataField="1" showAll="0"/>
    <pivotField numFmtId="22" showAll="0"/>
    <pivotField showAll="0"/>
    <pivotField showAll="0">
      <items count="5">
        <item x="3"/>
        <item x="0"/>
        <item x="2"/>
        <item x="1"/>
        <item t="default"/>
      </items>
    </pivotField>
    <pivotField showAll="0"/>
    <pivotField showAll="0"/>
    <pivotField axis="axisRow" showAll="0">
      <items count="5">
        <item x="1"/>
        <item x="2"/>
        <item x="0"/>
        <item x="3"/>
        <item t="default"/>
      </items>
    </pivotField>
    <pivotField showAll="0"/>
    <pivotField showAll="0"/>
    <pivotField showAll="0"/>
    <pivotField showAll="0"/>
    <pivotField showAll="0"/>
    <pivotField axis="axisCol" showAll="0">
      <items count="4">
        <item x="1"/>
        <item x="2"/>
        <item x="0"/>
        <item t="default"/>
      </items>
    </pivotField>
    <pivotField showAll="0"/>
    <pivotField showAll="0"/>
  </pivotFields>
  <rowFields count="1">
    <field x="6"/>
  </rowFields>
  <rowItems count="5">
    <i>
      <x/>
    </i>
    <i>
      <x v="1"/>
    </i>
    <i>
      <x v="2"/>
    </i>
    <i>
      <x v="3"/>
    </i>
    <i t="grand">
      <x/>
    </i>
  </rowItems>
  <colFields count="1">
    <field x="12"/>
  </colFields>
  <colItems count="4">
    <i>
      <x/>
    </i>
    <i>
      <x v="1"/>
    </i>
    <i>
      <x v="2"/>
    </i>
    <i t="grand">
      <x/>
    </i>
  </colItems>
  <dataFields count="1">
    <dataField name="Count of Ticket ID" fld="0" subtotal="count" baseField="0" baseItem="0"/>
  </dataFields>
  <formats count="20">
    <format dxfId="62">
      <pivotArea type="all" dataOnly="0" outline="0" fieldPosition="0"/>
    </format>
    <format dxfId="61">
      <pivotArea outline="0" collapsedLevelsAreSubtotals="1" fieldPosition="0"/>
    </format>
    <format dxfId="60">
      <pivotArea type="origin" dataOnly="0" labelOnly="1" outline="0" fieldPosition="0"/>
    </format>
    <format dxfId="59">
      <pivotArea field="12" type="button" dataOnly="0" labelOnly="1" outline="0" axis="axisCol" fieldPosition="0"/>
    </format>
    <format dxfId="58">
      <pivotArea type="topRight" dataOnly="0" labelOnly="1" outline="0" fieldPosition="0"/>
    </format>
    <format dxfId="57">
      <pivotArea field="6" type="button" dataOnly="0" labelOnly="1" outline="0" axis="axisRow" fieldPosition="0"/>
    </format>
    <format dxfId="56">
      <pivotArea dataOnly="0" labelOnly="1" fieldPosition="0">
        <references count="1">
          <reference field="6" count="0"/>
        </references>
      </pivotArea>
    </format>
    <format dxfId="55">
      <pivotArea dataOnly="0" labelOnly="1" grandRow="1" outline="0" fieldPosition="0"/>
    </format>
    <format dxfId="54">
      <pivotArea dataOnly="0" labelOnly="1" fieldPosition="0">
        <references count="1">
          <reference field="12" count="0"/>
        </references>
      </pivotArea>
    </format>
    <format dxfId="53">
      <pivotArea dataOnly="0" labelOnly="1" grandCol="1" outline="0" fieldPosition="0"/>
    </format>
    <format dxfId="52">
      <pivotArea type="all" dataOnly="0" outline="0" fieldPosition="0"/>
    </format>
    <format dxfId="51">
      <pivotArea outline="0" collapsedLevelsAreSubtotals="1" fieldPosition="0"/>
    </format>
    <format dxfId="50">
      <pivotArea type="origin" dataOnly="0" labelOnly="1" outline="0" fieldPosition="0"/>
    </format>
    <format dxfId="49">
      <pivotArea field="12" type="button" dataOnly="0" labelOnly="1" outline="0" axis="axisCol" fieldPosition="0"/>
    </format>
    <format dxfId="48">
      <pivotArea type="topRight" dataOnly="0" labelOnly="1" outline="0" fieldPosition="0"/>
    </format>
    <format dxfId="47">
      <pivotArea field="6" type="button" dataOnly="0" labelOnly="1" outline="0" axis="axisRow" fieldPosition="0"/>
    </format>
    <format dxfId="46">
      <pivotArea dataOnly="0" labelOnly="1" fieldPosition="0">
        <references count="1">
          <reference field="6" count="0"/>
        </references>
      </pivotArea>
    </format>
    <format dxfId="45">
      <pivotArea dataOnly="0" labelOnly="1" grandRow="1" outline="0" fieldPosition="0"/>
    </format>
    <format dxfId="44">
      <pivotArea dataOnly="0" labelOnly="1" fieldPosition="0">
        <references count="1">
          <reference field="12" count="0"/>
        </references>
      </pivotArea>
    </format>
    <format dxfId="43">
      <pivotArea dataOnly="0" labelOnly="1" grandCol="1" outline="0" fieldPosition="0"/>
    </format>
  </format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11" format="18" series="1">
      <pivotArea type="data" outline="0" fieldPosition="0">
        <references count="2">
          <reference field="4294967294" count="1" selected="0">
            <x v="0"/>
          </reference>
          <reference field="12" count="1" selected="0">
            <x v="0"/>
          </reference>
        </references>
      </pivotArea>
    </chartFormat>
    <chartFormat chart="11" format="19" series="1">
      <pivotArea type="data" outline="0" fieldPosition="0">
        <references count="2">
          <reference field="4294967294" count="1" selected="0">
            <x v="0"/>
          </reference>
          <reference field="12" count="1" selected="0">
            <x v="1"/>
          </reference>
        </references>
      </pivotArea>
    </chartFormat>
    <chartFormat chart="11" format="20"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23EC23-C6C7-449A-B8F9-413D55D7E693}" name="Tickets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1:C27" firstHeaderRow="1" firstDataRow="1" firstDataCol="1"/>
  <pivotFields count="15">
    <pivotField dataField="1" showAll="0"/>
    <pivotField numFmtId="22" showAll="0"/>
    <pivotField showAll="0"/>
    <pivotField showAll="0">
      <items count="5">
        <item x="3"/>
        <item x="0"/>
        <item x="2"/>
        <item x="1"/>
        <item t="default"/>
      </items>
    </pivotField>
    <pivotField showAll="0"/>
    <pivotField axis="axisRow" showAll="0">
      <items count="6">
        <item x="3"/>
        <item x="2"/>
        <item x="0"/>
        <item x="4"/>
        <item x="1"/>
        <item t="default"/>
      </items>
    </pivotField>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Ticket ID" fld="0" subtotal="count" baseField="0" baseItem="0"/>
  </dataFields>
  <formats count="12">
    <format dxfId="74">
      <pivotArea type="all" dataOnly="0" outline="0" fieldPosition="0"/>
    </format>
    <format dxfId="73">
      <pivotArea outline="0" collapsedLevelsAreSubtotals="1" fieldPosition="0"/>
    </format>
    <format dxfId="72">
      <pivotArea field="5" type="button" dataOnly="0" labelOnly="1" outline="0" axis="axisRow" fieldPosition="0"/>
    </format>
    <format dxfId="71">
      <pivotArea dataOnly="0" labelOnly="1" fieldPosition="0">
        <references count="1">
          <reference field="5" count="0"/>
        </references>
      </pivotArea>
    </format>
    <format dxfId="70">
      <pivotArea dataOnly="0" labelOnly="1" grandRow="1" outline="0"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5" type="button" dataOnly="0" labelOnly="1" outline="0" axis="axisRow" fieldPosition="0"/>
    </format>
    <format dxfId="65">
      <pivotArea dataOnly="0" labelOnly="1" fieldPosition="0">
        <references count="1">
          <reference field="5" count="0"/>
        </references>
      </pivotArea>
    </format>
    <format dxfId="64">
      <pivotArea dataOnly="0" labelOnly="1" grandRow="1" outline="0" fieldPosition="0"/>
    </format>
    <format dxfId="6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13E208-1B9C-4B14-B157-805677930F17}" name="Tickets by Prior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13:F16" firstHeaderRow="1" firstDataRow="1" firstDataCol="1"/>
  <pivotFields count="15">
    <pivotField dataField="1" showAll="0"/>
    <pivotField numFmtId="22" showAll="0"/>
    <pivotField showAll="0"/>
    <pivotField axis="axisRow" showAll="0">
      <items count="5">
        <item x="3"/>
        <item x="0"/>
        <item x="2"/>
        <item x="1"/>
        <item t="default"/>
      </items>
    </pivotField>
    <pivotField showAll="0">
      <items count="3">
        <item x="0"/>
        <item x="1"/>
        <item t="default"/>
      </items>
    </pivotField>
    <pivotField showAll="0">
      <items count="6">
        <item x="3"/>
        <item x="2"/>
        <item x="0"/>
        <item h="1" x="4"/>
        <item h="1" x="1"/>
        <item t="default"/>
      </items>
    </pivotField>
    <pivotField showAll="0">
      <items count="5">
        <item h="1" x="1"/>
        <item x="2"/>
        <item h="1" x="0"/>
        <item h="1" x="3"/>
        <item t="default"/>
      </items>
    </pivotField>
    <pivotField showAll="0"/>
    <pivotField showAll="0">
      <items count="5">
        <item x="0"/>
        <item x="1"/>
        <item x="2"/>
        <item x="3"/>
        <item t="default"/>
      </items>
    </pivotField>
    <pivotField showAll="0"/>
    <pivotField showAll="0"/>
    <pivotField showAll="0"/>
    <pivotField showAll="0"/>
    <pivotField showAll="0"/>
    <pivotField showAll="0"/>
  </pivotFields>
  <rowFields count="1">
    <field x="3"/>
  </rowFields>
  <rowItems count="3">
    <i>
      <x v="1"/>
    </i>
    <i>
      <x v="3"/>
    </i>
    <i t="grand">
      <x/>
    </i>
  </rowItems>
  <colItems count="1">
    <i/>
  </colItems>
  <dataFields count="1">
    <dataField name="Count of Ticket ID" fld="0" subtotal="count" baseField="0" baseItem="0"/>
  </dataFields>
  <formats count="12">
    <format dxfId="3">
      <pivotArea type="all" dataOnly="0" outline="0" fieldPosition="0"/>
    </format>
    <format dxfId="4">
      <pivotArea outline="0" collapsedLevelsAreSubtotals="1" fieldPosition="0"/>
    </format>
    <format dxfId="5">
      <pivotArea field="3" type="button" dataOnly="0" labelOnly="1" outline="0" axis="axisRow" fieldPosition="0"/>
    </format>
    <format dxfId="6">
      <pivotArea dataOnly="0" labelOnly="1" fieldPosition="0">
        <references count="1">
          <reference field="3" count="0"/>
        </references>
      </pivotArea>
    </format>
    <format dxfId="7">
      <pivotArea dataOnly="0" labelOnly="1" grandRow="1" outline="0" fieldPosition="0"/>
    </format>
    <format dxfId="8">
      <pivotArea dataOnly="0" labelOnly="1" outline="0" axis="axisValues" fieldPosition="0"/>
    </format>
    <format dxfId="9">
      <pivotArea type="all" dataOnly="0" outline="0" fieldPosition="0"/>
    </format>
    <format dxfId="10">
      <pivotArea outline="0" collapsedLevelsAreSubtotals="1" fieldPosition="0"/>
    </format>
    <format dxfId="11">
      <pivotArea field="3" type="button" dataOnly="0" labelOnly="1" outline="0" axis="axisRow" fieldPosition="0"/>
    </format>
    <format dxfId="12">
      <pivotArea dataOnly="0" labelOnly="1" fieldPosition="0">
        <references count="1">
          <reference field="3" count="0"/>
        </references>
      </pivotArea>
    </format>
    <format dxfId="13">
      <pivotArea dataOnly="0" labelOnly="1" grandRow="1" outline="0" fieldPosition="0"/>
    </format>
    <format dxfId="1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ACF79496-28FE-4E51-96A2-7D4245DCB68B}" sourceName="Priority">
  <pivotTables>
    <pivotTable tabId="3" name="Tickets by Priority"/>
    <pivotTable tabId="3" name="Average Resolution Hours by Priority"/>
    <pivotTable tabId="3" name="SLA Status by Assigned Team"/>
    <pivotTable tabId="3" name="Tickets by Category"/>
    <pivotTable tabId="3" name="Tickets by Month"/>
  </pivotTables>
  <data>
    <tabular pivotCacheId="948809166">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205AF2C0-2DA9-4C0E-B37D-E8CA9BB0F3F7}" sourceName="Status">
  <pivotTables>
    <pivotTable tabId="3" name="Tickets by Priority"/>
  </pivotTables>
  <data>
    <tabular pivotCacheId="94880916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1B0E9A-CBB0-4262-9993-FCF9B83BAA2B}" sourceName="Category">
  <pivotTables>
    <pivotTable tabId="3" name="Tickets by Priority"/>
  </pivotTables>
  <data>
    <tabular pivotCacheId="948809166">
      <items count="5">
        <i x="2" s="1"/>
        <i x="3" s="1" nd="1"/>
        <i x="0" s="1" nd="1"/>
        <i x="4" nd="1"/>
        <i x="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Team" xr10:uid="{D8E20519-B73A-4D07-9E10-14749F22FB99}" sourceName="Assigned Team">
  <pivotTables>
    <pivotTable tabId="3" name="Tickets by Priority"/>
  </pivotTables>
  <data>
    <tabular pivotCacheId="948809166">
      <items count="4">
        <i x="2" s="1"/>
        <i x="0"/>
        <i x="3"/>
        <i x="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Department" xr10:uid="{90B85F32-A6E5-4DF3-9111-AC501903F640}" sourceName="Customer Department">
  <pivotTables>
    <pivotTable tabId="3" name="Tickets by Priority"/>
  </pivotTables>
  <data>
    <tabular pivotCacheId="948809166">
      <items count="4">
        <i x="0" s="1"/>
        <i x="2" s="1"/>
        <i x="3"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2" xr10:uid="{B0AF9A53-54B6-4F92-B5A5-9D9FA1745238}" cache="Slicer_Priority" caption="Priority" rowHeight="234950"/>
  <slicer name="Status 2" xr10:uid="{5E86E5AE-B8DB-4E27-98E1-3C9F0E4DD92D}" cache="Slicer_Status" caption="Status" rowHeight="234950"/>
  <slicer name="Category 2" xr10:uid="{83C13EFA-E98B-4B77-B6F0-A0360B6D14EE}" cache="Slicer_Category" caption="Category" rowHeight="234950"/>
  <slicer name="Assigned Team 2" xr10:uid="{4619E548-82B7-4679-9EEE-76DB54927733}" cache="Slicer_Assigned_Team" caption="Assigned Team" rowHeight="234950"/>
  <slicer name="Customer Department 2" xr10:uid="{782568B9-89B2-44B9-B734-5D80E70CC9DF}" cache="Slicer_Customer_Department" caption="Customer Depart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B2A79E-3162-4510-9016-6C15A89B007A}" name="tbl_raw_tickets" displayName="tbl_raw_tickets" ref="B2:K32" totalsRowShown="0">
  <autoFilter ref="B2:K32" xr:uid="{15B2A79E-3162-4510-9016-6C15A89B007A}"/>
  <tableColumns count="10">
    <tableColumn id="1" xr3:uid="{C691B45C-05A2-4C87-8E89-9CA691834BF7}" name="Ticket ID"/>
    <tableColumn id="2" xr3:uid="{59CFA44D-DC07-4195-BEE9-D76E37583F3F}" name="Created Date" dataDxfId="83"/>
    <tableColumn id="3" xr3:uid="{FCAA91CC-ACF9-40A5-84CB-DAD249795163}" name="Resolved Date" dataDxfId="82"/>
    <tableColumn id="4" xr3:uid="{42FBC923-E8F2-49D1-BF5A-ED84ED701305}" name="Priority"/>
    <tableColumn id="5" xr3:uid="{E6616676-8666-470D-A261-700D7E5F05BC}" name="Status"/>
    <tableColumn id="6" xr3:uid="{1B83FFC7-1281-4E2B-A3CC-43371243E7CE}" name="Category"/>
    <tableColumn id="7" xr3:uid="{4E8814A0-E821-4092-8660-34E558D9BF75}" name="Assigned Team"/>
    <tableColumn id="8" xr3:uid="{C540FB69-12E9-4B7E-BCA6-D0F2467C0F57}" name="Channel"/>
    <tableColumn id="9" xr3:uid="{5CC047A7-E526-4CE5-87BA-BE063B9F32C9}" name="Customer Department"/>
    <tableColumn id="10" xr3:uid="{644BF08D-1139-4562-BC79-9F06E29067A1}" name="SLA Hou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F84926-F250-4820-AAED-3B5B27D5176A}" name="tbl_clean_tickets" displayName="tbl_clean_tickets" ref="B2:P32" totalsRowShown="0">
  <autoFilter ref="B2:P32" xr:uid="{81F84926-F250-4820-AAED-3B5B27D5176A}"/>
  <tableColumns count="15">
    <tableColumn id="1" xr3:uid="{B522A200-6E98-439B-A715-B0F2245C15E8}" name="Ticket ID"/>
    <tableColumn id="2" xr3:uid="{95CCCD74-4FD6-49B5-8E68-D3F57D705343}" name="Created Date" dataDxfId="81"/>
    <tableColumn id="3" xr3:uid="{7350C9A8-431A-490C-A3F1-B00AD185E4BE}" name="Resolved Date" dataDxfId="80"/>
    <tableColumn id="4" xr3:uid="{B5A89F95-5F8B-4139-BCB2-BF30B4DB6083}" name="Priority"/>
    <tableColumn id="5" xr3:uid="{136C57D4-51D8-494A-84B5-060F60975817}" name="Status"/>
    <tableColumn id="6" xr3:uid="{7C63B7B9-5D4E-45FA-8788-337606BBC1C2}" name="Category"/>
    <tableColumn id="7" xr3:uid="{9001BA42-29AC-4AEA-862C-223D679BF64C}" name="Assigned Team"/>
    <tableColumn id="8" xr3:uid="{3FB401B8-7678-4168-B190-59510D0C7740}" name="Channel"/>
    <tableColumn id="9" xr3:uid="{68629215-CA8F-4663-B404-0F9123D3BFC2}" name="Customer Department"/>
    <tableColumn id="10" xr3:uid="{E139ED65-CAD4-44B0-A03F-CAA3D73F64AA}" name="SLA Hours"/>
    <tableColumn id="11" xr3:uid="{726B4C16-EED4-4A22-B599-ED4B9F792797}" name="Created Month" dataDxfId="79">
      <calculatedColumnFormula>TEXT(tbl_clean_tickets[[#This Row],[Created Date]], "mmm yyyy")</calculatedColumnFormula>
    </tableColumn>
    <tableColumn id="12" xr3:uid="{8276241A-ED1A-4696-9E16-51DD3B6E5786}" name="Resolution Hours" dataDxfId="78">
      <calculatedColumnFormula>IF(tbl_clean_tickets[[#This Row],[Resolved Date]]="","",(tbl_clean_tickets[[#This Row],[Resolved Date]]-tbl_clean_tickets[[#This Row],[Created Date]])*24)</calculatedColumnFormula>
    </tableColumn>
    <tableColumn id="13" xr3:uid="{40B99EC6-85AC-47FB-A220-B6998A3588A7}" name="SLA Status" dataDxfId="77">
      <calculatedColumnFormula>IF(tbl_clean_tickets[[#This Row],[Status]]="Open", "Open", IF(tbl_clean_tickets[[#This Row],[Resolution Hours]]&gt;tbl_clean_tickets[[#This Row],[SLA Hours]], "Breached", "Within SLA"))</calculatedColumnFormula>
    </tableColumn>
    <tableColumn id="14" xr3:uid="{400E4AB3-C26A-4925-8589-71EE67FE6211}" name="Ticket Age Hours" dataDxfId="76">
      <calculatedColumnFormula>IF(tbl_clean_tickets[[#This Row],[Status]]="Open", (NOW() - tbl_clean_tickets[[#This Row],[Created Date]])*24, " ")</calculatedColumnFormula>
    </tableColumn>
    <tableColumn id="15" xr3:uid="{FB267D76-0801-43AC-B264-B10D6A4643E8}" name="Priority Rank" dataDxfId="75">
      <calculatedColumnFormula array="1">_xlfn.SWITCH(tbl_clean_tickets[[#This Row],[Priority]], "Critical", 1, "High", 2, "Medium", 3, "Low", 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3D3FED-C411-40CB-A1E8-8C0E164DA89D}" name="Table3" displayName="Table3" ref="B2:C10" totalsRowShown="0" headerRowDxfId="18" dataDxfId="17">
  <autoFilter ref="B2:C10" xr:uid="{C33D3FED-C411-40CB-A1E8-8C0E164DA89D}"/>
  <tableColumns count="2">
    <tableColumn id="1" xr3:uid="{F9B67293-A057-41F8-83EF-74A2CE7FAB9C}" name="KPI" dataDxfId="16"/>
    <tableColumn id="2" xr3:uid="{1034ED6B-62C4-4D74-9B1E-8D6C6532302E}" name="Count" dataDxfId="1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94B4AB1-13DF-4D0D-BA74-6F72EF215F2C}" name="Table7" displayName="Table7" ref="B2:D7" totalsRowShown="0">
  <autoFilter ref="B2:D7" xr:uid="{B94B4AB1-13DF-4D0D-BA74-6F72EF215F2C}"/>
  <tableColumns count="3">
    <tableColumn id="1" xr3:uid="{70AC0F63-20BB-4DE2-88B6-DD77884B39CF}" name="Insight"/>
    <tableColumn id="2" xr3:uid="{F8B9778F-7E60-4FE8-8356-867FDC0C8DD5}" name="Evidence"/>
    <tableColumn id="3" xr3:uid="{05D39E6C-985D-40A4-98F9-8EBF203031DA}" name="Business Recommenda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1E1502E-464E-41FE-8821-F61240E48C28}" name="Table5" displayName="Table5" ref="B2:C17" totalsRowShown="0">
  <autoFilter ref="B2:C17" xr:uid="{51E1502E-464E-41FE-8821-F61240E48C28}"/>
  <tableColumns count="2">
    <tableColumn id="1" xr3:uid="{05DB9B92-AD5C-4BE9-A3A3-E699EBD9CDBA}" name="Column name"/>
    <tableColumn id="2" xr3:uid="{5BA404B6-2E06-486E-9442-B18DD5CE96B6}" name="Description"/>
  </tableColumns>
  <tableStyleInfo name="TableStyleMedium2" showFirstColumn="0" showLastColumn="0" showRowStripes="1" showColumnStripes="0"/>
</table>
</file>

<file path=xl/theme/theme1.xml><?xml version="1.0" encoding="utf-8"?>
<a:theme xmlns:a="http://schemas.openxmlformats.org/drawingml/2006/main" name="Vapor Trail">
  <a:themeElements>
    <a:clrScheme name="Vapor Trail">
      <a:dk1>
        <a:sysClr val="windowText" lastClr="000000"/>
      </a:dk1>
      <a:lt1>
        <a:sysClr val="window" lastClr="FFFFFF"/>
      </a:lt1>
      <a:dk2>
        <a:srgbClr val="454545"/>
      </a:dk2>
      <a:lt2>
        <a:srgbClr val="DADADA"/>
      </a:lt2>
      <a:accent1>
        <a:srgbClr val="DF2E28"/>
      </a:accent1>
      <a:accent2>
        <a:srgbClr val="FE801A"/>
      </a:accent2>
      <a:accent3>
        <a:srgbClr val="E9BF35"/>
      </a:accent3>
      <a:accent4>
        <a:srgbClr val="81BB42"/>
      </a:accent4>
      <a:accent5>
        <a:srgbClr val="32C7A9"/>
      </a:accent5>
      <a:accent6>
        <a:srgbClr val="4A9BDC"/>
      </a:accent6>
      <a:hlink>
        <a:srgbClr val="F0532B"/>
      </a:hlink>
      <a:folHlink>
        <a:srgbClr val="F38B53"/>
      </a:folHlink>
    </a:clrScheme>
    <a:fontScheme name="Vapor Trail">
      <a:majorFont>
        <a:latin typeface="Century Gothic" panose="020B0502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Vapor Trail">
      <a:fillStyleLst>
        <a:solidFill>
          <a:schemeClr val="phClr"/>
        </a:solidFill>
        <a:gradFill rotWithShape="1">
          <a:gsLst>
            <a:gs pos="0">
              <a:schemeClr val="phClr">
                <a:tint val="69000"/>
                <a:alpha val="100000"/>
                <a:satMod val="109000"/>
                <a:lumMod val="110000"/>
              </a:schemeClr>
            </a:gs>
            <a:gs pos="52000">
              <a:schemeClr val="phClr">
                <a:tint val="74000"/>
                <a:satMod val="100000"/>
                <a:lumMod val="104000"/>
              </a:schemeClr>
            </a:gs>
            <a:gs pos="100000">
              <a:schemeClr val="phClr">
                <a:tint val="78000"/>
                <a:satMod val="100000"/>
                <a:lumMod val="100000"/>
              </a:schemeClr>
            </a:gs>
          </a:gsLst>
          <a:lin ang="5400000" scaled="0"/>
        </a:gradFill>
        <a:gradFill rotWithShape="1">
          <a:gsLst>
            <a:gs pos="0">
              <a:schemeClr val="phClr">
                <a:tint val="96000"/>
                <a:satMod val="100000"/>
                <a:lumMod val="104000"/>
              </a:schemeClr>
            </a:gs>
            <a:gs pos="78000">
              <a:schemeClr val="phClr">
                <a:shade val="100000"/>
                <a:satMod val="11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cene3d>
            <a:camera prst="orthographicFront">
              <a:rot lat="0" lon="0" rev="0"/>
            </a:camera>
            <a:lightRig rig="threePt" dir="t"/>
          </a:scene3d>
          <a:sp3d>
            <a:bevelT w="25400" h="12700"/>
          </a:sp3d>
        </a:effectStyle>
        <a:effectStyle>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Vapor Trail" id="{4FDF2955-7D9C-493C-B9F9-C205151B46CD}" vid="{8F31A783-2159-4870-BC29-2BA7D038EA44}"/>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4.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2"/>
  <sheetViews>
    <sheetView zoomScaleNormal="100" workbookViewId="0">
      <selection sqref="A1:P1"/>
    </sheetView>
  </sheetViews>
  <sheetFormatPr defaultRowHeight="13.8" x14ac:dyDescent="0.25"/>
  <cols>
    <col min="1" max="1" width="14.59765625" style="6" customWidth="1"/>
    <col min="2" max="2" width="10.296875" bestFit="1" customWidth="1"/>
    <col min="3" max="3" width="15.59765625" customWidth="1"/>
    <col min="4" max="4" width="15.69921875" bestFit="1" customWidth="1"/>
    <col min="5" max="5" width="8.59765625" bestFit="1" customWidth="1"/>
    <col min="6" max="6" width="7.8984375" bestFit="1" customWidth="1"/>
    <col min="7" max="7" width="15.19921875" bestFit="1" customWidth="1"/>
    <col min="8" max="8" width="16.59765625" bestFit="1" customWidth="1"/>
    <col min="9" max="9" width="10.3984375" bestFit="1" customWidth="1"/>
    <col min="10" max="10" width="22.59765625" bestFit="1" customWidth="1"/>
    <col min="11" max="11" width="11.296875" bestFit="1" customWidth="1"/>
  </cols>
  <sheetData>
    <row r="1" spans="1:16" s="2" customFormat="1" ht="32.4" x14ac:dyDescent="0.25">
      <c r="A1" s="11" t="s">
        <v>87</v>
      </c>
      <c r="B1" s="11"/>
      <c r="C1" s="11"/>
      <c r="D1" s="11"/>
      <c r="E1" s="11"/>
      <c r="F1" s="11"/>
      <c r="G1" s="11"/>
      <c r="H1" s="11"/>
      <c r="I1" s="11"/>
      <c r="J1" s="11"/>
      <c r="K1" s="11"/>
      <c r="L1" s="11"/>
      <c r="M1" s="11"/>
      <c r="N1" s="11"/>
      <c r="O1" s="11"/>
      <c r="P1" s="11"/>
    </row>
    <row r="2" spans="1:16" x14ac:dyDescent="0.25">
      <c r="B2" t="s">
        <v>0</v>
      </c>
      <c r="C2" t="s">
        <v>1</v>
      </c>
      <c r="D2" t="s">
        <v>2</v>
      </c>
      <c r="E2" t="s">
        <v>3</v>
      </c>
      <c r="F2" t="s">
        <v>4</v>
      </c>
      <c r="G2" t="s">
        <v>5</v>
      </c>
      <c r="H2" t="s">
        <v>6</v>
      </c>
      <c r="I2" t="s">
        <v>7</v>
      </c>
      <c r="J2" t="s">
        <v>8</v>
      </c>
      <c r="K2" t="s">
        <v>9</v>
      </c>
    </row>
    <row r="3" spans="1:16" x14ac:dyDescent="0.25">
      <c r="B3" t="s">
        <v>10</v>
      </c>
      <c r="C3" s="1">
        <v>46025.385416666664</v>
      </c>
      <c r="D3" s="1">
        <v>46025.65625</v>
      </c>
      <c r="E3" t="s">
        <v>11</v>
      </c>
      <c r="F3" t="s">
        <v>12</v>
      </c>
      <c r="G3" t="s">
        <v>13</v>
      </c>
      <c r="H3" t="s">
        <v>14</v>
      </c>
      <c r="I3" t="s">
        <v>15</v>
      </c>
      <c r="J3" t="s">
        <v>16</v>
      </c>
      <c r="K3">
        <v>8</v>
      </c>
    </row>
    <row r="4" spans="1:16" x14ac:dyDescent="0.25">
      <c r="B4" t="s">
        <v>17</v>
      </c>
      <c r="C4" s="1">
        <v>46026.430555555555</v>
      </c>
      <c r="D4" s="1">
        <v>46028.458333333336</v>
      </c>
      <c r="E4" t="s">
        <v>18</v>
      </c>
      <c r="F4" t="s">
        <v>12</v>
      </c>
      <c r="G4" t="s">
        <v>19</v>
      </c>
      <c r="H4" t="s">
        <v>20</v>
      </c>
      <c r="I4" t="s">
        <v>21</v>
      </c>
      <c r="J4" t="s">
        <v>22</v>
      </c>
      <c r="K4">
        <v>24</v>
      </c>
    </row>
    <row r="5" spans="1:16" x14ac:dyDescent="0.25">
      <c r="B5" t="s">
        <v>23</v>
      </c>
      <c r="C5" s="1">
        <v>46027.590277777781</v>
      </c>
      <c r="E5" t="s">
        <v>11</v>
      </c>
      <c r="F5" t="s">
        <v>24</v>
      </c>
      <c r="G5" t="s">
        <v>25</v>
      </c>
      <c r="H5" t="s">
        <v>26</v>
      </c>
      <c r="I5" t="s">
        <v>27</v>
      </c>
      <c r="J5" t="s">
        <v>28</v>
      </c>
      <c r="K5">
        <v>8</v>
      </c>
    </row>
    <row r="6" spans="1:16" x14ac:dyDescent="0.25">
      <c r="A6" s="8" t="s">
        <v>123</v>
      </c>
      <c r="B6" t="s">
        <v>29</v>
      </c>
      <c r="C6" s="1">
        <v>46029.368055555555</v>
      </c>
      <c r="D6" s="1">
        <v>46029.520833333336</v>
      </c>
      <c r="E6" t="s">
        <v>30</v>
      </c>
      <c r="F6" t="s">
        <v>12</v>
      </c>
      <c r="G6" t="s">
        <v>31</v>
      </c>
      <c r="H6" t="s">
        <v>32</v>
      </c>
      <c r="I6" t="s">
        <v>21</v>
      </c>
      <c r="J6" t="s">
        <v>33</v>
      </c>
      <c r="K6">
        <v>48</v>
      </c>
    </row>
    <row r="7" spans="1:16" ht="14.4" x14ac:dyDescent="0.3">
      <c r="A7" s="9"/>
      <c r="B7" t="s">
        <v>34</v>
      </c>
      <c r="C7" s="1">
        <v>46030.670138888891</v>
      </c>
      <c r="D7" s="1">
        <v>46031.777777777781</v>
      </c>
      <c r="E7" t="s">
        <v>18</v>
      </c>
      <c r="F7" t="s">
        <v>12</v>
      </c>
      <c r="G7" t="s">
        <v>19</v>
      </c>
      <c r="H7" t="s">
        <v>20</v>
      </c>
      <c r="I7" t="s">
        <v>15</v>
      </c>
      <c r="J7" t="s">
        <v>16</v>
      </c>
      <c r="K7">
        <v>24</v>
      </c>
    </row>
    <row r="8" spans="1:16" x14ac:dyDescent="0.25">
      <c r="A8" s="10"/>
      <c r="B8" t="s">
        <v>35</v>
      </c>
      <c r="C8" s="1">
        <v>46032.479166666664</v>
      </c>
      <c r="D8" s="1">
        <v>46032.833333333336</v>
      </c>
      <c r="E8" t="s">
        <v>36</v>
      </c>
      <c r="F8" t="s">
        <v>12</v>
      </c>
      <c r="G8" t="s">
        <v>13</v>
      </c>
      <c r="H8" t="s">
        <v>14</v>
      </c>
      <c r="I8" t="s">
        <v>27</v>
      </c>
      <c r="J8" t="s">
        <v>28</v>
      </c>
      <c r="K8">
        <v>4</v>
      </c>
    </row>
    <row r="9" spans="1:16" x14ac:dyDescent="0.25">
      <c r="A9" s="10"/>
      <c r="B9" t="s">
        <v>37</v>
      </c>
      <c r="C9" s="1">
        <v>46034.40625</v>
      </c>
      <c r="D9" s="1">
        <v>46035.423611111109</v>
      </c>
      <c r="E9" t="s">
        <v>30</v>
      </c>
      <c r="F9" t="s">
        <v>12</v>
      </c>
      <c r="G9" t="s">
        <v>38</v>
      </c>
      <c r="H9" t="s">
        <v>32</v>
      </c>
      <c r="I9" t="s">
        <v>21</v>
      </c>
      <c r="J9" t="s">
        <v>22</v>
      </c>
      <c r="K9">
        <v>48</v>
      </c>
    </row>
    <row r="10" spans="1:16" x14ac:dyDescent="0.25">
      <c r="A10" s="8" t="s">
        <v>124</v>
      </c>
      <c r="B10" t="s">
        <v>39</v>
      </c>
      <c r="C10" s="1">
        <v>46036.559027777781</v>
      </c>
      <c r="E10" t="s">
        <v>18</v>
      </c>
      <c r="F10" t="s">
        <v>24</v>
      </c>
      <c r="G10" t="s">
        <v>25</v>
      </c>
      <c r="H10" t="s">
        <v>26</v>
      </c>
      <c r="I10" t="s">
        <v>15</v>
      </c>
      <c r="J10" t="s">
        <v>33</v>
      </c>
      <c r="K10">
        <v>24</v>
      </c>
    </row>
    <row r="11" spans="1:16" ht="14.4" x14ac:dyDescent="0.3">
      <c r="A11" s="9"/>
      <c r="B11" t="s">
        <v>40</v>
      </c>
      <c r="C11" s="1">
        <v>46037.625</v>
      </c>
      <c r="D11" s="1">
        <v>46038.388888888891</v>
      </c>
      <c r="E11" t="s">
        <v>11</v>
      </c>
      <c r="F11" t="s">
        <v>12</v>
      </c>
      <c r="G11" t="s">
        <v>19</v>
      </c>
      <c r="H11" t="s">
        <v>20</v>
      </c>
      <c r="I11" t="s">
        <v>27</v>
      </c>
      <c r="J11" t="s">
        <v>16</v>
      </c>
      <c r="K11">
        <v>8</v>
      </c>
    </row>
    <row r="12" spans="1:16" x14ac:dyDescent="0.25">
      <c r="A12" s="10"/>
      <c r="B12" t="s">
        <v>41</v>
      </c>
      <c r="C12" s="1">
        <v>46039.423611111109</v>
      </c>
      <c r="D12" s="1">
        <v>46039.5</v>
      </c>
      <c r="E12" t="s">
        <v>30</v>
      </c>
      <c r="F12" t="s">
        <v>12</v>
      </c>
      <c r="G12" t="s">
        <v>38</v>
      </c>
      <c r="H12" t="s">
        <v>32</v>
      </c>
      <c r="I12" t="s">
        <v>21</v>
      </c>
      <c r="J12" t="s">
        <v>28</v>
      </c>
      <c r="K12">
        <v>48</v>
      </c>
    </row>
    <row r="13" spans="1:16" ht="14.4" x14ac:dyDescent="0.3">
      <c r="A13" s="9"/>
      <c r="B13" t="s">
        <v>42</v>
      </c>
      <c r="C13" s="1">
        <v>46054.375</v>
      </c>
      <c r="D13" s="1">
        <v>46054.541666666664</v>
      </c>
      <c r="E13" t="s">
        <v>11</v>
      </c>
      <c r="F13" t="s">
        <v>12</v>
      </c>
      <c r="G13" t="s">
        <v>13</v>
      </c>
      <c r="H13" t="s">
        <v>14</v>
      </c>
      <c r="I13" t="s">
        <v>15</v>
      </c>
      <c r="J13" t="s">
        <v>16</v>
      </c>
      <c r="K13">
        <v>8</v>
      </c>
    </row>
    <row r="14" spans="1:16" x14ac:dyDescent="0.25">
      <c r="A14" s="8"/>
      <c r="B14" t="s">
        <v>43</v>
      </c>
      <c r="C14" s="1">
        <v>46055.427083333336</v>
      </c>
      <c r="D14" s="1">
        <v>46056.680555555555</v>
      </c>
      <c r="E14" t="s">
        <v>18</v>
      </c>
      <c r="F14" t="s">
        <v>12</v>
      </c>
      <c r="G14" t="s">
        <v>19</v>
      </c>
      <c r="H14" t="s">
        <v>20</v>
      </c>
      <c r="I14" t="s">
        <v>21</v>
      </c>
      <c r="J14" t="s">
        <v>22</v>
      </c>
      <c r="K14">
        <v>24</v>
      </c>
    </row>
    <row r="15" spans="1:16" x14ac:dyDescent="0.25">
      <c r="A15" s="8" t="s">
        <v>127</v>
      </c>
      <c r="B15" t="s">
        <v>44</v>
      </c>
      <c r="C15" s="1">
        <v>46057.479166666664</v>
      </c>
      <c r="E15" t="s">
        <v>36</v>
      </c>
      <c r="F15" t="s">
        <v>24</v>
      </c>
      <c r="G15" t="s">
        <v>13</v>
      </c>
      <c r="H15" t="s">
        <v>14</v>
      </c>
      <c r="I15" t="s">
        <v>27</v>
      </c>
      <c r="J15" t="s">
        <v>28</v>
      </c>
      <c r="K15">
        <v>4</v>
      </c>
    </row>
    <row r="16" spans="1:16" ht="14.4" x14ac:dyDescent="0.3">
      <c r="A16" s="9"/>
      <c r="B16" t="s">
        <v>45</v>
      </c>
      <c r="C16" s="1">
        <v>46058.614583333336</v>
      </c>
      <c r="D16" s="1">
        <v>46058.645833333336</v>
      </c>
      <c r="E16" t="s">
        <v>30</v>
      </c>
      <c r="F16" t="s">
        <v>12</v>
      </c>
      <c r="G16" t="s">
        <v>38</v>
      </c>
      <c r="H16" t="s">
        <v>32</v>
      </c>
      <c r="I16" t="s">
        <v>21</v>
      </c>
      <c r="J16" t="s">
        <v>33</v>
      </c>
      <c r="K16">
        <v>48</v>
      </c>
    </row>
    <row r="17" spans="1:11" ht="14.4" x14ac:dyDescent="0.3">
      <c r="A17" s="9"/>
      <c r="B17" t="s">
        <v>46</v>
      </c>
      <c r="C17" s="1">
        <v>46059.673611111109</v>
      </c>
      <c r="D17" s="1">
        <v>46060.444444444445</v>
      </c>
      <c r="E17" t="s">
        <v>18</v>
      </c>
      <c r="F17" t="s">
        <v>12</v>
      </c>
      <c r="G17" t="s">
        <v>25</v>
      </c>
      <c r="H17" t="s">
        <v>26</v>
      </c>
      <c r="I17" t="s">
        <v>15</v>
      </c>
      <c r="J17" t="s">
        <v>16</v>
      </c>
      <c r="K17">
        <v>24</v>
      </c>
    </row>
    <row r="18" spans="1:11" x14ac:dyDescent="0.25">
      <c r="A18" s="8"/>
      <c r="B18" t="s">
        <v>47</v>
      </c>
      <c r="C18" s="1">
        <v>46061.354166666664</v>
      </c>
      <c r="D18" s="1">
        <v>46061.583333333336</v>
      </c>
      <c r="E18" t="s">
        <v>11</v>
      </c>
      <c r="F18" t="s">
        <v>12</v>
      </c>
      <c r="G18" t="s">
        <v>19</v>
      </c>
      <c r="H18" t="s">
        <v>20</v>
      </c>
      <c r="I18" t="s">
        <v>27</v>
      </c>
      <c r="J18" t="s">
        <v>28</v>
      </c>
      <c r="K18">
        <v>8</v>
      </c>
    </row>
    <row r="19" spans="1:11" x14ac:dyDescent="0.25">
      <c r="A19" s="8"/>
      <c r="B19" t="s">
        <v>48</v>
      </c>
      <c r="C19" s="1">
        <v>46063.555555555555</v>
      </c>
      <c r="D19" s="1">
        <v>46064.708333333336</v>
      </c>
      <c r="E19" t="s">
        <v>18</v>
      </c>
      <c r="F19" t="s">
        <v>12</v>
      </c>
      <c r="G19" t="s">
        <v>31</v>
      </c>
      <c r="H19" t="s">
        <v>32</v>
      </c>
      <c r="I19" t="s">
        <v>21</v>
      </c>
      <c r="J19" t="s">
        <v>22</v>
      </c>
      <c r="K19">
        <v>24</v>
      </c>
    </row>
    <row r="20" spans="1:11" x14ac:dyDescent="0.25">
      <c r="A20" s="8" t="s">
        <v>125</v>
      </c>
      <c r="B20" t="s">
        <v>49</v>
      </c>
      <c r="C20" s="1">
        <v>46065.659722222219</v>
      </c>
      <c r="E20" t="s">
        <v>11</v>
      </c>
      <c r="F20" t="s">
        <v>24</v>
      </c>
      <c r="G20" t="s">
        <v>13</v>
      </c>
      <c r="H20" t="s">
        <v>14</v>
      </c>
      <c r="I20" t="s">
        <v>15</v>
      </c>
      <c r="J20" t="s">
        <v>33</v>
      </c>
      <c r="K20">
        <v>8</v>
      </c>
    </row>
    <row r="21" spans="1:11" x14ac:dyDescent="0.25">
      <c r="B21" t="s">
        <v>50</v>
      </c>
      <c r="C21" s="1">
        <v>46067.420138888891</v>
      </c>
      <c r="D21" s="1">
        <v>46067.458333333336</v>
      </c>
      <c r="E21" t="s">
        <v>30</v>
      </c>
      <c r="F21" t="s">
        <v>12</v>
      </c>
      <c r="G21" t="s">
        <v>38</v>
      </c>
      <c r="H21" t="s">
        <v>32</v>
      </c>
      <c r="I21" t="s">
        <v>21</v>
      </c>
      <c r="J21" t="s">
        <v>16</v>
      </c>
      <c r="K21">
        <v>48</v>
      </c>
    </row>
    <row r="22" spans="1:11" x14ac:dyDescent="0.25">
      <c r="A22" s="8"/>
      <c r="B22" t="s">
        <v>51</v>
      </c>
      <c r="C22" s="1">
        <v>46068.399305555555</v>
      </c>
      <c r="D22" s="1">
        <v>46069.510416666664</v>
      </c>
      <c r="E22" t="s">
        <v>18</v>
      </c>
      <c r="F22" t="s">
        <v>12</v>
      </c>
      <c r="G22" t="s">
        <v>19</v>
      </c>
      <c r="H22" t="s">
        <v>20</v>
      </c>
      <c r="I22" t="s">
        <v>15</v>
      </c>
      <c r="J22" t="s">
        <v>22</v>
      </c>
      <c r="K22">
        <v>24</v>
      </c>
    </row>
    <row r="23" spans="1:11" ht="14.4" x14ac:dyDescent="0.3">
      <c r="A23" s="9"/>
      <c r="B23" t="s">
        <v>52</v>
      </c>
      <c r="C23" s="1">
        <v>46082.361111111109</v>
      </c>
      <c r="D23" s="1">
        <v>46082.75</v>
      </c>
      <c r="E23" t="s">
        <v>36</v>
      </c>
      <c r="F23" t="s">
        <v>12</v>
      </c>
      <c r="G23" t="s">
        <v>13</v>
      </c>
      <c r="H23" t="s">
        <v>14</v>
      </c>
      <c r="I23" t="s">
        <v>27</v>
      </c>
      <c r="J23" t="s">
        <v>28</v>
      </c>
      <c r="K23">
        <v>4</v>
      </c>
    </row>
    <row r="24" spans="1:11" x14ac:dyDescent="0.25">
      <c r="A24" s="8" t="s">
        <v>126</v>
      </c>
      <c r="B24" t="s">
        <v>53</v>
      </c>
      <c r="C24" s="1">
        <v>46083.392361111109</v>
      </c>
      <c r="D24" s="1">
        <v>46084.4375</v>
      </c>
      <c r="E24" t="s">
        <v>11</v>
      </c>
      <c r="F24" t="s">
        <v>12</v>
      </c>
      <c r="G24" t="s">
        <v>25</v>
      </c>
      <c r="H24" t="s">
        <v>26</v>
      </c>
      <c r="I24" t="s">
        <v>15</v>
      </c>
      <c r="J24" t="s">
        <v>16</v>
      </c>
      <c r="K24">
        <v>8</v>
      </c>
    </row>
    <row r="25" spans="1:11" x14ac:dyDescent="0.25">
      <c r="A25" s="8"/>
      <c r="B25" t="s">
        <v>54</v>
      </c>
      <c r="C25" s="1">
        <v>46084.46875</v>
      </c>
      <c r="E25" t="s">
        <v>18</v>
      </c>
      <c r="F25" t="s">
        <v>24</v>
      </c>
      <c r="G25" t="s">
        <v>19</v>
      </c>
      <c r="H25" t="s">
        <v>20</v>
      </c>
      <c r="I25" t="s">
        <v>21</v>
      </c>
      <c r="J25" t="s">
        <v>22</v>
      </c>
      <c r="K25">
        <v>24</v>
      </c>
    </row>
    <row r="26" spans="1:11" x14ac:dyDescent="0.25">
      <c r="B26" t="s">
        <v>55</v>
      </c>
      <c r="C26" s="1">
        <v>46086.541666666664</v>
      </c>
      <c r="D26" s="1">
        <v>46086.590277777781</v>
      </c>
      <c r="E26" t="s">
        <v>30</v>
      </c>
      <c r="F26" t="s">
        <v>12</v>
      </c>
      <c r="G26" t="s">
        <v>31</v>
      </c>
      <c r="H26" t="s">
        <v>32</v>
      </c>
      <c r="I26" t="s">
        <v>21</v>
      </c>
      <c r="J26" t="s">
        <v>33</v>
      </c>
      <c r="K26">
        <v>48</v>
      </c>
    </row>
    <row r="27" spans="1:11" x14ac:dyDescent="0.25">
      <c r="B27" t="s">
        <v>56</v>
      </c>
      <c r="C27" s="1">
        <v>46087.645833333336</v>
      </c>
      <c r="D27" s="1">
        <v>46089.375</v>
      </c>
      <c r="E27" t="s">
        <v>11</v>
      </c>
      <c r="F27" t="s">
        <v>12</v>
      </c>
      <c r="G27" t="s">
        <v>13</v>
      </c>
      <c r="H27" t="s">
        <v>14</v>
      </c>
      <c r="I27" t="s">
        <v>27</v>
      </c>
      <c r="J27" t="s">
        <v>28</v>
      </c>
      <c r="K27">
        <v>8</v>
      </c>
    </row>
    <row r="28" spans="1:11" x14ac:dyDescent="0.25">
      <c r="B28" t="s">
        <v>57</v>
      </c>
      <c r="C28" s="1">
        <v>46089.451388888891</v>
      </c>
      <c r="D28" s="1">
        <v>46090.520833333336</v>
      </c>
      <c r="E28" t="s">
        <v>18</v>
      </c>
      <c r="F28" t="s">
        <v>12</v>
      </c>
      <c r="G28" t="s">
        <v>25</v>
      </c>
      <c r="H28" t="s">
        <v>26</v>
      </c>
      <c r="I28" t="s">
        <v>15</v>
      </c>
      <c r="J28" t="s">
        <v>16</v>
      </c>
      <c r="K28">
        <v>24</v>
      </c>
    </row>
    <row r="29" spans="1:11" x14ac:dyDescent="0.25">
      <c r="B29" t="s">
        <v>58</v>
      </c>
      <c r="C29" s="1">
        <v>46091.381944444445</v>
      </c>
      <c r="D29" s="1">
        <v>46091.416666666664</v>
      </c>
      <c r="E29" t="s">
        <v>30</v>
      </c>
      <c r="F29" t="s">
        <v>12</v>
      </c>
      <c r="G29" t="s">
        <v>38</v>
      </c>
      <c r="H29" t="s">
        <v>32</v>
      </c>
      <c r="I29" t="s">
        <v>21</v>
      </c>
      <c r="J29" t="s">
        <v>22</v>
      </c>
      <c r="K29">
        <v>48</v>
      </c>
    </row>
    <row r="30" spans="1:11" x14ac:dyDescent="0.25">
      <c r="B30" t="s">
        <v>59</v>
      </c>
      <c r="C30" s="1">
        <v>46092.611111111109</v>
      </c>
      <c r="E30" t="s">
        <v>36</v>
      </c>
      <c r="F30" t="s">
        <v>24</v>
      </c>
      <c r="G30" t="s">
        <v>19</v>
      </c>
      <c r="H30" t="s">
        <v>20</v>
      </c>
      <c r="I30" t="s">
        <v>27</v>
      </c>
      <c r="J30" t="s">
        <v>28</v>
      </c>
      <c r="K30">
        <v>4</v>
      </c>
    </row>
    <row r="31" spans="1:11" x14ac:dyDescent="0.25">
      <c r="B31" t="s">
        <v>60</v>
      </c>
      <c r="C31" s="1">
        <v>46094.680555555555</v>
      </c>
      <c r="D31" s="1">
        <v>46095.489583333336</v>
      </c>
      <c r="E31" t="s">
        <v>18</v>
      </c>
      <c r="F31" t="s">
        <v>12</v>
      </c>
      <c r="G31" t="s">
        <v>13</v>
      </c>
      <c r="H31" t="s">
        <v>14</v>
      </c>
      <c r="I31" t="s">
        <v>15</v>
      </c>
      <c r="J31" t="s">
        <v>33</v>
      </c>
      <c r="K31">
        <v>24</v>
      </c>
    </row>
    <row r="32" spans="1:11" x14ac:dyDescent="0.25">
      <c r="B32" t="s">
        <v>61</v>
      </c>
      <c r="C32" s="1">
        <v>46096.371527777781</v>
      </c>
      <c r="D32" s="1">
        <v>46096.559027777781</v>
      </c>
      <c r="E32" t="s">
        <v>11</v>
      </c>
      <c r="F32" t="s">
        <v>12</v>
      </c>
      <c r="G32" t="s">
        <v>19</v>
      </c>
      <c r="H32" t="s">
        <v>20</v>
      </c>
      <c r="I32" t="s">
        <v>21</v>
      </c>
      <c r="J32" t="s">
        <v>16</v>
      </c>
      <c r="K32">
        <v>8</v>
      </c>
    </row>
  </sheetData>
  <mergeCells count="1">
    <mergeCell ref="A1:P1"/>
  </mergeCells>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DE1E8-9C0A-466E-908D-29B8A0832CC5}">
  <dimension ref="A1:P32"/>
  <sheetViews>
    <sheetView workbookViewId="0">
      <selection sqref="A1:P1"/>
    </sheetView>
  </sheetViews>
  <sheetFormatPr defaultRowHeight="13.8" x14ac:dyDescent="0.25"/>
  <cols>
    <col min="1" max="1" width="14.59765625" style="6" bestFit="1" customWidth="1"/>
    <col min="2" max="2" width="10.296875" style="1" bestFit="1" customWidth="1"/>
    <col min="3" max="3" width="15.59765625" style="1" customWidth="1"/>
    <col min="4" max="4" width="15.69921875" bestFit="1" customWidth="1"/>
    <col min="5" max="5" width="8.59765625" bestFit="1" customWidth="1"/>
    <col min="6" max="6" width="7.8984375" bestFit="1" customWidth="1"/>
    <col min="7" max="7" width="15.19921875" bestFit="1" customWidth="1"/>
    <col min="8" max="8" width="16.59765625" bestFit="1" customWidth="1"/>
    <col min="9" max="9" width="10.3984375" bestFit="1" customWidth="1"/>
    <col min="10" max="10" width="22.59765625" bestFit="1" customWidth="1"/>
    <col min="11" max="11" width="11.296875" bestFit="1" customWidth="1"/>
    <col min="12" max="12" width="16.296875" bestFit="1" customWidth="1"/>
    <col min="13" max="13" width="17.296875" bestFit="1" customWidth="1"/>
    <col min="14" max="14" width="11.3984375" bestFit="1" customWidth="1"/>
    <col min="15" max="15" width="17.69921875" bestFit="1" customWidth="1"/>
    <col min="16" max="16" width="13.3984375" bestFit="1" customWidth="1"/>
  </cols>
  <sheetData>
    <row r="1" spans="1:16" s="2" customFormat="1" ht="32.4" x14ac:dyDescent="0.25">
      <c r="A1" s="11" t="s">
        <v>87</v>
      </c>
      <c r="B1" s="11"/>
      <c r="C1" s="11"/>
      <c r="D1" s="11"/>
      <c r="E1" s="11"/>
      <c r="F1" s="11"/>
      <c r="G1" s="11"/>
      <c r="H1" s="11"/>
      <c r="I1" s="11"/>
      <c r="J1" s="11"/>
      <c r="K1" s="11"/>
      <c r="L1" s="11"/>
      <c r="M1" s="11"/>
      <c r="N1" s="11"/>
      <c r="O1" s="11"/>
      <c r="P1" s="11"/>
    </row>
    <row r="2" spans="1:16" x14ac:dyDescent="0.25">
      <c r="B2" t="s">
        <v>0</v>
      </c>
      <c r="C2" s="1" t="s">
        <v>1</v>
      </c>
      <c r="D2" s="1" t="s">
        <v>2</v>
      </c>
      <c r="E2" t="s">
        <v>3</v>
      </c>
      <c r="F2" t="s">
        <v>4</v>
      </c>
      <c r="G2" t="s">
        <v>5</v>
      </c>
      <c r="H2" t="s">
        <v>6</v>
      </c>
      <c r="I2" t="s">
        <v>7</v>
      </c>
      <c r="J2" t="s">
        <v>8</v>
      </c>
      <c r="K2" t="s">
        <v>9</v>
      </c>
      <c r="L2" t="s">
        <v>62</v>
      </c>
      <c r="M2" t="s">
        <v>63</v>
      </c>
      <c r="N2" t="s">
        <v>64</v>
      </c>
      <c r="O2" t="s">
        <v>65</v>
      </c>
      <c r="P2" t="s">
        <v>66</v>
      </c>
    </row>
    <row r="3" spans="1:16" x14ac:dyDescent="0.25">
      <c r="B3" t="s">
        <v>10</v>
      </c>
      <c r="C3" s="1">
        <v>46025.385416666664</v>
      </c>
      <c r="D3" s="1">
        <v>46025.65625</v>
      </c>
      <c r="E3" t="s">
        <v>11</v>
      </c>
      <c r="F3" t="s">
        <v>12</v>
      </c>
      <c r="G3" t="s">
        <v>13</v>
      </c>
      <c r="H3" t="s">
        <v>14</v>
      </c>
      <c r="I3" t="s">
        <v>15</v>
      </c>
      <c r="J3" t="s">
        <v>16</v>
      </c>
      <c r="K3">
        <v>8</v>
      </c>
      <c r="L3" t="str">
        <f>TEXT(tbl_clean_tickets[[#This Row],[Created Date]], "mmm yyyy")</f>
        <v>Jan 2026</v>
      </c>
      <c r="M3">
        <f>IF(tbl_clean_tickets[[#This Row],[Resolved Date]]="","",(tbl_clean_tickets[[#This Row],[Resolved Date]]-tbl_clean_tickets[[#This Row],[Created Date]])*24)</f>
        <v>6.5000000000582077</v>
      </c>
      <c r="N3" t="str">
        <f>IF(tbl_clean_tickets[[#This Row],[Status]]="Open", "Open", IF(tbl_clean_tickets[[#This Row],[Resolution Hours]]&gt;tbl_clean_tickets[[#This Row],[SLA Hours]], "Breached", "Within SLA"))</f>
        <v>Within SLA</v>
      </c>
      <c r="O3" t="str">
        <f ca="1">IF(tbl_clean_tickets[[#This Row],[Status]]="Open", (NOW() - tbl_clean_tickets[[#This Row],[Created Date]])*24, " ")</f>
        <v xml:space="preserve"> </v>
      </c>
      <c r="P3" cm="1">
        <f t="array" ref="P3">_xlfn.SWITCH(tbl_clean_tickets[[#This Row],[Priority]], "Critical", 1, "High", 2, "Medium", 3, "Low", 4)</f>
        <v>2</v>
      </c>
    </row>
    <row r="4" spans="1:16" x14ac:dyDescent="0.25">
      <c r="B4" t="s">
        <v>17</v>
      </c>
      <c r="C4" s="1">
        <v>46026.430555555555</v>
      </c>
      <c r="D4" s="1">
        <v>46028.458333333336</v>
      </c>
      <c r="E4" t="s">
        <v>18</v>
      </c>
      <c r="F4" t="s">
        <v>12</v>
      </c>
      <c r="G4" t="s">
        <v>19</v>
      </c>
      <c r="H4" t="s">
        <v>20</v>
      </c>
      <c r="I4" t="s">
        <v>21</v>
      </c>
      <c r="J4" t="s">
        <v>22</v>
      </c>
      <c r="K4">
        <v>24</v>
      </c>
      <c r="L4" t="str">
        <f>TEXT(tbl_clean_tickets[[#This Row],[Created Date]], "mmm yyyy")</f>
        <v>Jan 2026</v>
      </c>
      <c r="M4">
        <f>IF(tbl_clean_tickets[[#This Row],[Resolved Date]]="","",(tbl_clean_tickets[[#This Row],[Resolved Date]]-tbl_clean_tickets[[#This Row],[Created Date]])*24)</f>
        <v>48.666666666744277</v>
      </c>
      <c r="N4" t="str">
        <f>IF(tbl_clean_tickets[[#This Row],[Status]]="Open", "Open", IF(tbl_clean_tickets[[#This Row],[Resolution Hours]]&gt;tbl_clean_tickets[[#This Row],[SLA Hours]], "Breached", "Within SLA"))</f>
        <v>Breached</v>
      </c>
      <c r="O4" t="str">
        <f ca="1">IF(tbl_clean_tickets[[#This Row],[Status]]="Open", (NOW() - tbl_clean_tickets[[#This Row],[Created Date]])*24, " ")</f>
        <v xml:space="preserve"> </v>
      </c>
      <c r="P4" cm="1">
        <f t="array" ref="P4">_xlfn.SWITCH(tbl_clean_tickets[[#This Row],[Priority]], "Critical", 1, "High", 2, "Medium", 3, "Low", 4)</f>
        <v>3</v>
      </c>
    </row>
    <row r="5" spans="1:16" x14ac:dyDescent="0.25">
      <c r="B5" t="s">
        <v>23</v>
      </c>
      <c r="C5" s="1">
        <v>46027.590277777781</v>
      </c>
      <c r="D5" s="1"/>
      <c r="E5" t="s">
        <v>11</v>
      </c>
      <c r="F5" t="s">
        <v>24</v>
      </c>
      <c r="G5" t="s">
        <v>25</v>
      </c>
      <c r="H5" t="s">
        <v>26</v>
      </c>
      <c r="I5" t="s">
        <v>27</v>
      </c>
      <c r="J5" t="s">
        <v>28</v>
      </c>
      <c r="K5">
        <v>8</v>
      </c>
      <c r="L5" t="str">
        <f>TEXT(tbl_clean_tickets[[#This Row],[Created Date]], "mmm yyyy")</f>
        <v>Jan 2026</v>
      </c>
      <c r="M5" t="str">
        <f>IF(tbl_clean_tickets[[#This Row],[Resolved Date]]="","",(tbl_clean_tickets[[#This Row],[Resolved Date]]-tbl_clean_tickets[[#This Row],[Created Date]])*24)</f>
        <v/>
      </c>
      <c r="N5" t="str">
        <f>IF(tbl_clean_tickets[[#This Row],[Status]]="Open", "Open", IF(tbl_clean_tickets[[#This Row],[Resolution Hours]]&gt;tbl_clean_tickets[[#This Row],[SLA Hours]], "Breached", "Within SLA"))</f>
        <v>Open</v>
      </c>
      <c r="O5">
        <f ca="1">IF(tbl_clean_tickets[[#This Row],[Status]]="Open", (NOW() - tbl_clean_tickets[[#This Row],[Created Date]])*24, " ")</f>
        <v>4200.4528333332273</v>
      </c>
      <c r="P5" cm="1">
        <f t="array" ref="P5">_xlfn.SWITCH(tbl_clean_tickets[[#This Row],[Priority]], "Critical", 1, "High", 2, "Medium", 3, "Low", 4)</f>
        <v>2</v>
      </c>
    </row>
    <row r="6" spans="1:16" x14ac:dyDescent="0.25">
      <c r="A6" s="8" t="s">
        <v>123</v>
      </c>
      <c r="B6" t="s">
        <v>29</v>
      </c>
      <c r="C6" s="1">
        <v>46029.368055555555</v>
      </c>
      <c r="D6" s="1">
        <v>46029.520833333336</v>
      </c>
      <c r="E6" t="s">
        <v>30</v>
      </c>
      <c r="F6" t="s">
        <v>12</v>
      </c>
      <c r="G6" t="s">
        <v>31</v>
      </c>
      <c r="H6" t="s">
        <v>32</v>
      </c>
      <c r="I6" t="s">
        <v>21</v>
      </c>
      <c r="J6" t="s">
        <v>33</v>
      </c>
      <c r="K6">
        <v>48</v>
      </c>
      <c r="L6" t="str">
        <f>TEXT(tbl_clean_tickets[[#This Row],[Created Date]], "mmm yyyy")</f>
        <v>Jan 2026</v>
      </c>
      <c r="M6">
        <f>IF(tbl_clean_tickets[[#This Row],[Resolved Date]]="","",(tbl_clean_tickets[[#This Row],[Resolved Date]]-tbl_clean_tickets[[#This Row],[Created Date]])*24)</f>
        <v>3.6666666667442769</v>
      </c>
      <c r="N6" t="str">
        <f>IF(tbl_clean_tickets[[#This Row],[Status]]="Open", "Open", IF(tbl_clean_tickets[[#This Row],[Resolution Hours]]&gt;tbl_clean_tickets[[#This Row],[SLA Hours]], "Breached", "Within SLA"))</f>
        <v>Within SLA</v>
      </c>
      <c r="O6" t="str">
        <f ca="1">IF(tbl_clean_tickets[[#This Row],[Status]]="Open", (NOW() - tbl_clean_tickets[[#This Row],[Created Date]])*24, " ")</f>
        <v xml:space="preserve"> </v>
      </c>
      <c r="P6" cm="1">
        <f t="array" ref="P6">_xlfn.SWITCH(tbl_clean_tickets[[#This Row],[Priority]], "Critical", 1, "High", 2, "Medium", 3, "Low", 4)</f>
        <v>4</v>
      </c>
    </row>
    <row r="7" spans="1:16" ht="14.4" x14ac:dyDescent="0.3">
      <c r="A7" s="9"/>
      <c r="B7" t="s">
        <v>34</v>
      </c>
      <c r="C7" s="1">
        <v>46030.670138888891</v>
      </c>
      <c r="D7" s="1">
        <v>46031.777777777781</v>
      </c>
      <c r="E7" t="s">
        <v>18</v>
      </c>
      <c r="F7" t="s">
        <v>12</v>
      </c>
      <c r="G7" t="s">
        <v>19</v>
      </c>
      <c r="H7" t="s">
        <v>20</v>
      </c>
      <c r="I7" t="s">
        <v>15</v>
      </c>
      <c r="J7" t="s">
        <v>16</v>
      </c>
      <c r="K7">
        <v>24</v>
      </c>
      <c r="L7" t="str">
        <f>TEXT(tbl_clean_tickets[[#This Row],[Created Date]], "mmm yyyy")</f>
        <v>Jan 2026</v>
      </c>
      <c r="M7">
        <f>IF(tbl_clean_tickets[[#This Row],[Resolved Date]]="","",(tbl_clean_tickets[[#This Row],[Resolved Date]]-tbl_clean_tickets[[#This Row],[Created Date]])*24)</f>
        <v>26.583333333372138</v>
      </c>
      <c r="N7" t="str">
        <f>IF(tbl_clean_tickets[[#This Row],[Status]]="Open", "Open", IF(tbl_clean_tickets[[#This Row],[Resolution Hours]]&gt;tbl_clean_tickets[[#This Row],[SLA Hours]], "Breached", "Within SLA"))</f>
        <v>Breached</v>
      </c>
      <c r="O7" t="str">
        <f ca="1">IF(tbl_clean_tickets[[#This Row],[Status]]="Open", (NOW() - tbl_clean_tickets[[#This Row],[Created Date]])*24, " ")</f>
        <v xml:space="preserve"> </v>
      </c>
      <c r="P7" cm="1">
        <f t="array" ref="P7">_xlfn.SWITCH(tbl_clean_tickets[[#This Row],[Priority]], "Critical", 1, "High", 2, "Medium", 3, "Low", 4)</f>
        <v>3</v>
      </c>
    </row>
    <row r="8" spans="1:16" x14ac:dyDescent="0.25">
      <c r="A8" s="10"/>
      <c r="B8" t="s">
        <v>35</v>
      </c>
      <c r="C8" s="1">
        <v>46032.479166666664</v>
      </c>
      <c r="D8" s="1">
        <v>46032.833333333336</v>
      </c>
      <c r="E8" t="s">
        <v>36</v>
      </c>
      <c r="F8" t="s">
        <v>12</v>
      </c>
      <c r="G8" t="s">
        <v>13</v>
      </c>
      <c r="H8" t="s">
        <v>14</v>
      </c>
      <c r="I8" t="s">
        <v>27</v>
      </c>
      <c r="J8" t="s">
        <v>28</v>
      </c>
      <c r="K8">
        <v>4</v>
      </c>
      <c r="L8" t="str">
        <f>TEXT(tbl_clean_tickets[[#This Row],[Created Date]], "mmm yyyy")</f>
        <v>Jan 2026</v>
      </c>
      <c r="M8">
        <f>IF(tbl_clean_tickets[[#This Row],[Resolved Date]]="","",(tbl_clean_tickets[[#This Row],[Resolved Date]]-tbl_clean_tickets[[#This Row],[Created Date]])*24)</f>
        <v>8.5000000001164153</v>
      </c>
      <c r="N8" t="str">
        <f>IF(tbl_clean_tickets[[#This Row],[Status]]="Open", "Open", IF(tbl_clean_tickets[[#This Row],[Resolution Hours]]&gt;tbl_clean_tickets[[#This Row],[SLA Hours]], "Breached", "Within SLA"))</f>
        <v>Breached</v>
      </c>
      <c r="O8" t="str">
        <f ca="1">IF(tbl_clean_tickets[[#This Row],[Status]]="Open", (NOW() - tbl_clean_tickets[[#This Row],[Created Date]])*24, " ")</f>
        <v xml:space="preserve"> </v>
      </c>
      <c r="P8" cm="1">
        <f t="array" ref="P8">_xlfn.SWITCH(tbl_clean_tickets[[#This Row],[Priority]], "Critical", 1, "High", 2, "Medium", 3, "Low", 4)</f>
        <v>1</v>
      </c>
    </row>
    <row r="9" spans="1:16" x14ac:dyDescent="0.25">
      <c r="A9" s="10"/>
      <c r="B9" t="s">
        <v>37</v>
      </c>
      <c r="C9" s="1">
        <v>46034.40625</v>
      </c>
      <c r="D9" s="1">
        <v>46035.423611111109</v>
      </c>
      <c r="E9" t="s">
        <v>30</v>
      </c>
      <c r="F9" t="s">
        <v>12</v>
      </c>
      <c r="G9" t="s">
        <v>38</v>
      </c>
      <c r="H9" t="s">
        <v>32</v>
      </c>
      <c r="I9" t="s">
        <v>21</v>
      </c>
      <c r="J9" t="s">
        <v>22</v>
      </c>
      <c r="K9">
        <v>48</v>
      </c>
      <c r="L9" t="str">
        <f>TEXT(tbl_clean_tickets[[#This Row],[Created Date]], "mmm yyyy")</f>
        <v>Jan 2026</v>
      </c>
      <c r="M9">
        <f>IF(tbl_clean_tickets[[#This Row],[Resolved Date]]="","",(tbl_clean_tickets[[#This Row],[Resolved Date]]-tbl_clean_tickets[[#This Row],[Created Date]])*24)</f>
        <v>24.416666666627862</v>
      </c>
      <c r="N9" t="str">
        <f>IF(tbl_clean_tickets[[#This Row],[Status]]="Open", "Open", IF(tbl_clean_tickets[[#This Row],[Resolution Hours]]&gt;tbl_clean_tickets[[#This Row],[SLA Hours]], "Breached", "Within SLA"))</f>
        <v>Within SLA</v>
      </c>
      <c r="O9" t="str">
        <f ca="1">IF(tbl_clean_tickets[[#This Row],[Status]]="Open", (NOW() - tbl_clean_tickets[[#This Row],[Created Date]])*24, " ")</f>
        <v xml:space="preserve"> </v>
      </c>
      <c r="P9" cm="1">
        <f t="array" ref="P9">_xlfn.SWITCH(tbl_clean_tickets[[#This Row],[Priority]], "Critical", 1, "High", 2, "Medium", 3, "Low", 4)</f>
        <v>4</v>
      </c>
    </row>
    <row r="10" spans="1:16" x14ac:dyDescent="0.25">
      <c r="A10" s="8" t="s">
        <v>124</v>
      </c>
      <c r="B10" t="s">
        <v>39</v>
      </c>
      <c r="C10" s="1">
        <v>46036.559027777781</v>
      </c>
      <c r="D10" s="1"/>
      <c r="E10" t="s">
        <v>18</v>
      </c>
      <c r="F10" t="s">
        <v>24</v>
      </c>
      <c r="G10" t="s">
        <v>25</v>
      </c>
      <c r="H10" t="s">
        <v>26</v>
      </c>
      <c r="I10" t="s">
        <v>15</v>
      </c>
      <c r="J10" t="s">
        <v>33</v>
      </c>
      <c r="K10">
        <v>24</v>
      </c>
      <c r="L10" t="str">
        <f>TEXT(tbl_clean_tickets[[#This Row],[Created Date]], "mmm yyyy")</f>
        <v>Jan 2026</v>
      </c>
      <c r="M10" t="str">
        <f>IF(tbl_clean_tickets[[#This Row],[Resolved Date]]="","",(tbl_clean_tickets[[#This Row],[Resolved Date]]-tbl_clean_tickets[[#This Row],[Created Date]])*24)</f>
        <v/>
      </c>
      <c r="N10" t="str">
        <f>IF(tbl_clean_tickets[[#This Row],[Status]]="Open", "Open", IF(tbl_clean_tickets[[#This Row],[Resolution Hours]]&gt;tbl_clean_tickets[[#This Row],[SLA Hours]], "Breached", "Within SLA"))</f>
        <v>Open</v>
      </c>
      <c r="O10">
        <f ca="1">IF(tbl_clean_tickets[[#This Row],[Status]]="Open", (NOW() - tbl_clean_tickets[[#This Row],[Created Date]])*24, " ")</f>
        <v>3985.2028333332273</v>
      </c>
      <c r="P10" cm="1">
        <f t="array" ref="P10">_xlfn.SWITCH(tbl_clean_tickets[[#This Row],[Priority]], "Critical", 1, "High", 2, "Medium", 3, "Low", 4)</f>
        <v>3</v>
      </c>
    </row>
    <row r="11" spans="1:16" ht="14.4" x14ac:dyDescent="0.3">
      <c r="A11" s="9"/>
      <c r="B11" t="s">
        <v>40</v>
      </c>
      <c r="C11" s="1">
        <v>46037.625</v>
      </c>
      <c r="D11" s="1">
        <v>46038.388888888891</v>
      </c>
      <c r="E11" t="s">
        <v>11</v>
      </c>
      <c r="F11" t="s">
        <v>12</v>
      </c>
      <c r="G11" t="s">
        <v>19</v>
      </c>
      <c r="H11" t="s">
        <v>20</v>
      </c>
      <c r="I11" t="s">
        <v>27</v>
      </c>
      <c r="J11" t="s">
        <v>16</v>
      </c>
      <c r="K11">
        <v>8</v>
      </c>
      <c r="L11" t="str">
        <f>TEXT(tbl_clean_tickets[[#This Row],[Created Date]], "mmm yyyy")</f>
        <v>Jan 2026</v>
      </c>
      <c r="M11">
        <f>IF(tbl_clean_tickets[[#This Row],[Resolved Date]]="","",(tbl_clean_tickets[[#This Row],[Resolved Date]]-tbl_clean_tickets[[#This Row],[Created Date]])*24)</f>
        <v>18.333333333372138</v>
      </c>
      <c r="N11" t="str">
        <f>IF(tbl_clean_tickets[[#This Row],[Status]]="Open", "Open", IF(tbl_clean_tickets[[#This Row],[Resolution Hours]]&gt;tbl_clean_tickets[[#This Row],[SLA Hours]], "Breached", "Within SLA"))</f>
        <v>Breached</v>
      </c>
      <c r="O11" t="str">
        <f ca="1">IF(tbl_clean_tickets[[#This Row],[Status]]="Open", (NOW() - tbl_clean_tickets[[#This Row],[Created Date]])*24, " ")</f>
        <v xml:space="preserve"> </v>
      </c>
      <c r="P11" cm="1">
        <f t="array" ref="P11">_xlfn.SWITCH(tbl_clean_tickets[[#This Row],[Priority]], "Critical", 1, "High", 2, "Medium", 3, "Low", 4)</f>
        <v>2</v>
      </c>
    </row>
    <row r="12" spans="1:16" x14ac:dyDescent="0.25">
      <c r="A12" s="10"/>
      <c r="B12" t="s">
        <v>41</v>
      </c>
      <c r="C12" s="1">
        <v>46039.423611111109</v>
      </c>
      <c r="D12" s="1">
        <v>46039.5</v>
      </c>
      <c r="E12" t="s">
        <v>30</v>
      </c>
      <c r="F12" t="s">
        <v>12</v>
      </c>
      <c r="G12" t="s">
        <v>38</v>
      </c>
      <c r="H12" t="s">
        <v>32</v>
      </c>
      <c r="I12" t="s">
        <v>21</v>
      </c>
      <c r="J12" t="s">
        <v>28</v>
      </c>
      <c r="K12">
        <v>48</v>
      </c>
      <c r="L12" t="str">
        <f>TEXT(tbl_clean_tickets[[#This Row],[Created Date]], "mmm yyyy")</f>
        <v>Jan 2026</v>
      </c>
      <c r="M12">
        <f>IF(tbl_clean_tickets[[#This Row],[Resolved Date]]="","",(tbl_clean_tickets[[#This Row],[Resolved Date]]-tbl_clean_tickets[[#This Row],[Created Date]])*24)</f>
        <v>1.8333333333721384</v>
      </c>
      <c r="N12" t="str">
        <f>IF(tbl_clean_tickets[[#This Row],[Status]]="Open", "Open", IF(tbl_clean_tickets[[#This Row],[Resolution Hours]]&gt;tbl_clean_tickets[[#This Row],[SLA Hours]], "Breached", "Within SLA"))</f>
        <v>Within SLA</v>
      </c>
      <c r="O12" t="str">
        <f ca="1">IF(tbl_clean_tickets[[#This Row],[Status]]="Open", (NOW() - tbl_clean_tickets[[#This Row],[Created Date]])*24, " ")</f>
        <v xml:space="preserve"> </v>
      </c>
      <c r="P12" cm="1">
        <f t="array" ref="P12">_xlfn.SWITCH(tbl_clean_tickets[[#This Row],[Priority]], "Critical", 1, "High", 2, "Medium", 3, "Low", 4)</f>
        <v>4</v>
      </c>
    </row>
    <row r="13" spans="1:16" ht="14.4" x14ac:dyDescent="0.3">
      <c r="A13" s="9"/>
      <c r="B13" t="s">
        <v>42</v>
      </c>
      <c r="C13" s="1">
        <v>46054.375</v>
      </c>
      <c r="D13" s="1">
        <v>46054.541666666664</v>
      </c>
      <c r="E13" t="s">
        <v>11</v>
      </c>
      <c r="F13" t="s">
        <v>12</v>
      </c>
      <c r="G13" t="s">
        <v>13</v>
      </c>
      <c r="H13" t="s">
        <v>14</v>
      </c>
      <c r="I13" t="s">
        <v>15</v>
      </c>
      <c r="J13" t="s">
        <v>16</v>
      </c>
      <c r="K13">
        <v>8</v>
      </c>
      <c r="L13" t="str">
        <f>TEXT(tbl_clean_tickets[[#This Row],[Created Date]], "mmm yyyy")</f>
        <v>Feb 2026</v>
      </c>
      <c r="M13">
        <f>IF(tbl_clean_tickets[[#This Row],[Resolved Date]]="","",(tbl_clean_tickets[[#This Row],[Resolved Date]]-tbl_clean_tickets[[#This Row],[Created Date]])*24)</f>
        <v>3.9999999999417923</v>
      </c>
      <c r="N13" t="str">
        <f>IF(tbl_clean_tickets[[#This Row],[Status]]="Open", "Open", IF(tbl_clean_tickets[[#This Row],[Resolution Hours]]&gt;tbl_clean_tickets[[#This Row],[SLA Hours]], "Breached", "Within SLA"))</f>
        <v>Within SLA</v>
      </c>
      <c r="O13" t="str">
        <f ca="1">IF(tbl_clean_tickets[[#This Row],[Status]]="Open", (NOW() - tbl_clean_tickets[[#This Row],[Created Date]])*24, " ")</f>
        <v xml:space="preserve"> </v>
      </c>
      <c r="P13" cm="1">
        <f t="array" ref="P13">_xlfn.SWITCH(tbl_clean_tickets[[#This Row],[Priority]], "Critical", 1, "High", 2, "Medium", 3, "Low", 4)</f>
        <v>2</v>
      </c>
    </row>
    <row r="14" spans="1:16" x14ac:dyDescent="0.25">
      <c r="A14" s="8"/>
      <c r="B14" t="s">
        <v>43</v>
      </c>
      <c r="C14" s="1">
        <v>46055.427083333336</v>
      </c>
      <c r="D14" s="1">
        <v>46056.680555555555</v>
      </c>
      <c r="E14" t="s">
        <v>18</v>
      </c>
      <c r="F14" t="s">
        <v>12</v>
      </c>
      <c r="G14" t="s">
        <v>19</v>
      </c>
      <c r="H14" t="s">
        <v>20</v>
      </c>
      <c r="I14" t="s">
        <v>21</v>
      </c>
      <c r="J14" t="s">
        <v>22</v>
      </c>
      <c r="K14">
        <v>24</v>
      </c>
      <c r="L14" t="str">
        <f>TEXT(tbl_clean_tickets[[#This Row],[Created Date]], "mmm yyyy")</f>
        <v>Feb 2026</v>
      </c>
      <c r="M14">
        <f>IF(tbl_clean_tickets[[#This Row],[Resolved Date]]="","",(tbl_clean_tickets[[#This Row],[Resolved Date]]-tbl_clean_tickets[[#This Row],[Created Date]])*24)</f>
        <v>30.083333333255723</v>
      </c>
      <c r="N14" t="str">
        <f>IF(tbl_clean_tickets[[#This Row],[Status]]="Open", "Open", IF(tbl_clean_tickets[[#This Row],[Resolution Hours]]&gt;tbl_clean_tickets[[#This Row],[SLA Hours]], "Breached", "Within SLA"))</f>
        <v>Breached</v>
      </c>
      <c r="O14" t="str">
        <f ca="1">IF(tbl_clean_tickets[[#This Row],[Status]]="Open", (NOW() - tbl_clean_tickets[[#This Row],[Created Date]])*24, " ")</f>
        <v xml:space="preserve"> </v>
      </c>
      <c r="P14" cm="1">
        <f t="array" ref="P14">_xlfn.SWITCH(tbl_clean_tickets[[#This Row],[Priority]], "Critical", 1, "High", 2, "Medium", 3, "Low", 4)</f>
        <v>3</v>
      </c>
    </row>
    <row r="15" spans="1:16" x14ac:dyDescent="0.25">
      <c r="A15" s="8" t="s">
        <v>127</v>
      </c>
      <c r="B15" t="s">
        <v>44</v>
      </c>
      <c r="C15" s="1">
        <v>46057.479166666664</v>
      </c>
      <c r="D15" s="1"/>
      <c r="E15" t="s">
        <v>36</v>
      </c>
      <c r="F15" t="s">
        <v>24</v>
      </c>
      <c r="G15" t="s">
        <v>13</v>
      </c>
      <c r="H15" t="s">
        <v>14</v>
      </c>
      <c r="I15" t="s">
        <v>27</v>
      </c>
      <c r="J15" t="s">
        <v>28</v>
      </c>
      <c r="K15">
        <v>4</v>
      </c>
      <c r="L15" t="str">
        <f>TEXT(tbl_clean_tickets[[#This Row],[Created Date]], "mmm yyyy")</f>
        <v>Feb 2026</v>
      </c>
      <c r="M15" t="str">
        <f>IF(tbl_clean_tickets[[#This Row],[Resolved Date]]="","",(tbl_clean_tickets[[#This Row],[Resolved Date]]-tbl_clean_tickets[[#This Row],[Created Date]])*24)</f>
        <v/>
      </c>
      <c r="N15" t="str">
        <f>IF(tbl_clean_tickets[[#This Row],[Status]]="Open", "Open", IF(tbl_clean_tickets[[#This Row],[Resolution Hours]]&gt;tbl_clean_tickets[[#This Row],[SLA Hours]], "Breached", "Within SLA"))</f>
        <v>Open</v>
      </c>
      <c r="O15">
        <f ca="1">IF(tbl_clean_tickets[[#This Row],[Status]]="Open", (NOW() - tbl_clean_tickets[[#This Row],[Created Date]])*24, " ")</f>
        <v>3483.1195000000298</v>
      </c>
      <c r="P15" cm="1">
        <f t="array" ref="P15">_xlfn.SWITCH(tbl_clean_tickets[[#This Row],[Priority]], "Critical", 1, "High", 2, "Medium", 3, "Low", 4)</f>
        <v>1</v>
      </c>
    </row>
    <row r="16" spans="1:16" ht="14.4" x14ac:dyDescent="0.3">
      <c r="A16" s="9"/>
      <c r="B16" t="s">
        <v>45</v>
      </c>
      <c r="C16" s="1">
        <v>46058.614583333336</v>
      </c>
      <c r="D16" s="1">
        <v>46058.645833333336</v>
      </c>
      <c r="E16" t="s">
        <v>30</v>
      </c>
      <c r="F16" t="s">
        <v>12</v>
      </c>
      <c r="G16" t="s">
        <v>38</v>
      </c>
      <c r="H16" t="s">
        <v>32</v>
      </c>
      <c r="I16" t="s">
        <v>21</v>
      </c>
      <c r="J16" t="s">
        <v>33</v>
      </c>
      <c r="K16">
        <v>48</v>
      </c>
      <c r="L16" t="str">
        <f>TEXT(tbl_clean_tickets[[#This Row],[Created Date]], "mmm yyyy")</f>
        <v>Feb 2026</v>
      </c>
      <c r="M16">
        <f>IF(tbl_clean_tickets[[#This Row],[Resolved Date]]="","",(tbl_clean_tickets[[#This Row],[Resolved Date]]-tbl_clean_tickets[[#This Row],[Created Date]])*24)</f>
        <v>0.75</v>
      </c>
      <c r="N16" t="str">
        <f>IF(tbl_clean_tickets[[#This Row],[Status]]="Open", "Open", IF(tbl_clean_tickets[[#This Row],[Resolution Hours]]&gt;tbl_clean_tickets[[#This Row],[SLA Hours]], "Breached", "Within SLA"))</f>
        <v>Within SLA</v>
      </c>
      <c r="O16" t="str">
        <f ca="1">IF(tbl_clean_tickets[[#This Row],[Status]]="Open", (NOW() - tbl_clean_tickets[[#This Row],[Created Date]])*24, " ")</f>
        <v xml:space="preserve"> </v>
      </c>
      <c r="P16" cm="1">
        <f t="array" ref="P16">_xlfn.SWITCH(tbl_clean_tickets[[#This Row],[Priority]], "Critical", 1, "High", 2, "Medium", 3, "Low", 4)</f>
        <v>4</v>
      </c>
    </row>
    <row r="17" spans="1:16" ht="14.4" x14ac:dyDescent="0.3">
      <c r="A17" s="9"/>
      <c r="B17" t="s">
        <v>46</v>
      </c>
      <c r="C17" s="1">
        <v>46059.673611111109</v>
      </c>
      <c r="D17" s="1">
        <v>46060.444444444445</v>
      </c>
      <c r="E17" t="s">
        <v>18</v>
      </c>
      <c r="F17" t="s">
        <v>12</v>
      </c>
      <c r="G17" t="s">
        <v>25</v>
      </c>
      <c r="H17" t="s">
        <v>26</v>
      </c>
      <c r="I17" t="s">
        <v>15</v>
      </c>
      <c r="J17" t="s">
        <v>16</v>
      </c>
      <c r="K17">
        <v>24</v>
      </c>
      <c r="L17" t="str">
        <f>TEXT(tbl_clean_tickets[[#This Row],[Created Date]], "mmm yyyy")</f>
        <v>Feb 2026</v>
      </c>
      <c r="M17">
        <f>IF(tbl_clean_tickets[[#This Row],[Resolved Date]]="","",(tbl_clean_tickets[[#This Row],[Resolved Date]]-tbl_clean_tickets[[#This Row],[Created Date]])*24)</f>
        <v>18.500000000058208</v>
      </c>
      <c r="N17" t="str">
        <f>IF(tbl_clean_tickets[[#This Row],[Status]]="Open", "Open", IF(tbl_clean_tickets[[#This Row],[Resolution Hours]]&gt;tbl_clean_tickets[[#This Row],[SLA Hours]], "Breached", "Within SLA"))</f>
        <v>Within SLA</v>
      </c>
      <c r="O17" t="str">
        <f ca="1">IF(tbl_clean_tickets[[#This Row],[Status]]="Open", (NOW() - tbl_clean_tickets[[#This Row],[Created Date]])*24, " ")</f>
        <v xml:space="preserve"> </v>
      </c>
      <c r="P17" cm="1">
        <f t="array" ref="P17">_xlfn.SWITCH(tbl_clean_tickets[[#This Row],[Priority]], "Critical", 1, "High", 2, "Medium", 3, "Low", 4)</f>
        <v>3</v>
      </c>
    </row>
    <row r="18" spans="1:16" x14ac:dyDescent="0.25">
      <c r="A18" s="8"/>
      <c r="B18" t="s">
        <v>47</v>
      </c>
      <c r="C18" s="1">
        <v>46061.354166666664</v>
      </c>
      <c r="D18" s="1">
        <v>46061.583333333336</v>
      </c>
      <c r="E18" t="s">
        <v>11</v>
      </c>
      <c r="F18" t="s">
        <v>12</v>
      </c>
      <c r="G18" t="s">
        <v>19</v>
      </c>
      <c r="H18" t="s">
        <v>20</v>
      </c>
      <c r="I18" t="s">
        <v>27</v>
      </c>
      <c r="J18" t="s">
        <v>28</v>
      </c>
      <c r="K18">
        <v>8</v>
      </c>
      <c r="L18" t="str">
        <f>TEXT(tbl_clean_tickets[[#This Row],[Created Date]], "mmm yyyy")</f>
        <v>Feb 2026</v>
      </c>
      <c r="M18">
        <f>IF(tbl_clean_tickets[[#This Row],[Resolved Date]]="","",(tbl_clean_tickets[[#This Row],[Resolved Date]]-tbl_clean_tickets[[#This Row],[Created Date]])*24)</f>
        <v>5.5000000001164153</v>
      </c>
      <c r="N18" t="str">
        <f>IF(tbl_clean_tickets[[#This Row],[Status]]="Open", "Open", IF(tbl_clean_tickets[[#This Row],[Resolution Hours]]&gt;tbl_clean_tickets[[#This Row],[SLA Hours]], "Breached", "Within SLA"))</f>
        <v>Within SLA</v>
      </c>
      <c r="O18" t="str">
        <f ca="1">IF(tbl_clean_tickets[[#This Row],[Status]]="Open", (NOW() - tbl_clean_tickets[[#This Row],[Created Date]])*24, " ")</f>
        <v xml:space="preserve"> </v>
      </c>
      <c r="P18" cm="1">
        <f t="array" ref="P18">_xlfn.SWITCH(tbl_clean_tickets[[#This Row],[Priority]], "Critical", 1, "High", 2, "Medium", 3, "Low", 4)</f>
        <v>2</v>
      </c>
    </row>
    <row r="19" spans="1:16" x14ac:dyDescent="0.25">
      <c r="A19" s="8"/>
      <c r="B19" t="s">
        <v>48</v>
      </c>
      <c r="C19" s="1">
        <v>46063.555555555555</v>
      </c>
      <c r="D19" s="1">
        <v>46064.708333333336</v>
      </c>
      <c r="E19" t="s">
        <v>18</v>
      </c>
      <c r="F19" t="s">
        <v>12</v>
      </c>
      <c r="G19" t="s">
        <v>31</v>
      </c>
      <c r="H19" t="s">
        <v>32</v>
      </c>
      <c r="I19" t="s">
        <v>21</v>
      </c>
      <c r="J19" t="s">
        <v>22</v>
      </c>
      <c r="K19">
        <v>24</v>
      </c>
      <c r="L19" t="str">
        <f>TEXT(tbl_clean_tickets[[#This Row],[Created Date]], "mmm yyyy")</f>
        <v>Feb 2026</v>
      </c>
      <c r="M19">
        <f>IF(tbl_clean_tickets[[#This Row],[Resolved Date]]="","",(tbl_clean_tickets[[#This Row],[Resolved Date]]-tbl_clean_tickets[[#This Row],[Created Date]])*24)</f>
        <v>27.666666666744277</v>
      </c>
      <c r="N19" t="str">
        <f>IF(tbl_clean_tickets[[#This Row],[Status]]="Open", "Open", IF(tbl_clean_tickets[[#This Row],[Resolution Hours]]&gt;tbl_clean_tickets[[#This Row],[SLA Hours]], "Breached", "Within SLA"))</f>
        <v>Breached</v>
      </c>
      <c r="O19" t="str">
        <f ca="1">IF(tbl_clean_tickets[[#This Row],[Status]]="Open", (NOW() - tbl_clean_tickets[[#This Row],[Created Date]])*24, " ")</f>
        <v xml:space="preserve"> </v>
      </c>
      <c r="P19" cm="1">
        <f t="array" ref="P19">_xlfn.SWITCH(tbl_clean_tickets[[#This Row],[Priority]], "Critical", 1, "High", 2, "Medium", 3, "Low", 4)</f>
        <v>3</v>
      </c>
    </row>
    <row r="20" spans="1:16" x14ac:dyDescent="0.25">
      <c r="A20" s="8" t="s">
        <v>125</v>
      </c>
      <c r="B20" t="s">
        <v>49</v>
      </c>
      <c r="C20" s="1">
        <v>46065.659722222219</v>
      </c>
      <c r="D20" s="1"/>
      <c r="E20" t="s">
        <v>11</v>
      </c>
      <c r="F20" t="s">
        <v>24</v>
      </c>
      <c r="G20" t="s">
        <v>13</v>
      </c>
      <c r="H20" t="s">
        <v>14</v>
      </c>
      <c r="I20" t="s">
        <v>15</v>
      </c>
      <c r="J20" t="s">
        <v>33</v>
      </c>
      <c r="K20">
        <v>8</v>
      </c>
      <c r="L20" t="str">
        <f>TEXT(tbl_clean_tickets[[#This Row],[Created Date]], "mmm yyyy")</f>
        <v>Feb 2026</v>
      </c>
      <c r="M20" t="str">
        <f>IF(tbl_clean_tickets[[#This Row],[Resolved Date]]="","",(tbl_clean_tickets[[#This Row],[Resolved Date]]-tbl_clean_tickets[[#This Row],[Created Date]])*24)</f>
        <v/>
      </c>
      <c r="N20" t="str">
        <f>IF(tbl_clean_tickets[[#This Row],[Status]]="Open", "Open", IF(tbl_clean_tickets[[#This Row],[Resolution Hours]]&gt;tbl_clean_tickets[[#This Row],[SLA Hours]], "Breached", "Within SLA"))</f>
        <v>Open</v>
      </c>
      <c r="O20">
        <f ca="1">IF(tbl_clean_tickets[[#This Row],[Status]]="Open", (NOW() - tbl_clean_tickets[[#This Row],[Created Date]])*24, " ")</f>
        <v>3286.7861666667159</v>
      </c>
      <c r="P20" cm="1">
        <f t="array" ref="P20">_xlfn.SWITCH(tbl_clean_tickets[[#This Row],[Priority]], "Critical", 1, "High", 2, "Medium", 3, "Low", 4)</f>
        <v>2</v>
      </c>
    </row>
    <row r="21" spans="1:16" x14ac:dyDescent="0.25">
      <c r="B21" t="s">
        <v>50</v>
      </c>
      <c r="C21" s="1">
        <v>46067.420138888891</v>
      </c>
      <c r="D21" s="1">
        <v>46067.458333333336</v>
      </c>
      <c r="E21" t="s">
        <v>30</v>
      </c>
      <c r="F21" t="s">
        <v>12</v>
      </c>
      <c r="G21" t="s">
        <v>38</v>
      </c>
      <c r="H21" t="s">
        <v>32</v>
      </c>
      <c r="I21" t="s">
        <v>21</v>
      </c>
      <c r="J21" t="s">
        <v>16</v>
      </c>
      <c r="K21">
        <v>48</v>
      </c>
      <c r="L21" t="str">
        <f>TEXT(tbl_clean_tickets[[#This Row],[Created Date]], "mmm yyyy")</f>
        <v>Feb 2026</v>
      </c>
      <c r="M21">
        <f>IF(tbl_clean_tickets[[#This Row],[Resolved Date]]="","",(tbl_clean_tickets[[#This Row],[Resolved Date]]-tbl_clean_tickets[[#This Row],[Created Date]])*24)</f>
        <v>0.91666666668606922</v>
      </c>
      <c r="N21" t="str">
        <f>IF(tbl_clean_tickets[[#This Row],[Status]]="Open", "Open", IF(tbl_clean_tickets[[#This Row],[Resolution Hours]]&gt;tbl_clean_tickets[[#This Row],[SLA Hours]], "Breached", "Within SLA"))</f>
        <v>Within SLA</v>
      </c>
      <c r="O21" t="str">
        <f ca="1">IF(tbl_clean_tickets[[#This Row],[Status]]="Open", (NOW() - tbl_clean_tickets[[#This Row],[Created Date]])*24, " ")</f>
        <v xml:space="preserve"> </v>
      </c>
      <c r="P21" cm="1">
        <f t="array" ref="P21">_xlfn.SWITCH(tbl_clean_tickets[[#This Row],[Priority]], "Critical", 1, "High", 2, "Medium", 3, "Low", 4)</f>
        <v>4</v>
      </c>
    </row>
    <row r="22" spans="1:16" x14ac:dyDescent="0.25">
      <c r="A22" s="8"/>
      <c r="B22" t="s">
        <v>51</v>
      </c>
      <c r="C22" s="1">
        <v>46068.399305555555</v>
      </c>
      <c r="D22" s="1">
        <v>46069.510416666664</v>
      </c>
      <c r="E22" t="s">
        <v>18</v>
      </c>
      <c r="F22" t="s">
        <v>12</v>
      </c>
      <c r="G22" t="s">
        <v>19</v>
      </c>
      <c r="H22" t="s">
        <v>20</v>
      </c>
      <c r="I22" t="s">
        <v>15</v>
      </c>
      <c r="J22" t="s">
        <v>22</v>
      </c>
      <c r="K22">
        <v>24</v>
      </c>
      <c r="L22" t="str">
        <f>TEXT(tbl_clean_tickets[[#This Row],[Created Date]], "mmm yyyy")</f>
        <v>Feb 2026</v>
      </c>
      <c r="M22">
        <f>IF(tbl_clean_tickets[[#This Row],[Resolved Date]]="","",(tbl_clean_tickets[[#This Row],[Resolved Date]]-tbl_clean_tickets[[#This Row],[Created Date]])*24)</f>
        <v>26.666666666627862</v>
      </c>
      <c r="N22" t="str">
        <f>IF(tbl_clean_tickets[[#This Row],[Status]]="Open", "Open", IF(tbl_clean_tickets[[#This Row],[Resolution Hours]]&gt;tbl_clean_tickets[[#This Row],[SLA Hours]], "Breached", "Within SLA"))</f>
        <v>Breached</v>
      </c>
      <c r="O22" t="str">
        <f ca="1">IF(tbl_clean_tickets[[#This Row],[Status]]="Open", (NOW() - tbl_clean_tickets[[#This Row],[Created Date]])*24, " ")</f>
        <v xml:space="preserve"> </v>
      </c>
      <c r="P22" cm="1">
        <f t="array" ref="P22">_xlfn.SWITCH(tbl_clean_tickets[[#This Row],[Priority]], "Critical", 1, "High", 2, "Medium", 3, "Low", 4)</f>
        <v>3</v>
      </c>
    </row>
    <row r="23" spans="1:16" ht="14.4" x14ac:dyDescent="0.3">
      <c r="A23" s="9"/>
      <c r="B23" t="s">
        <v>52</v>
      </c>
      <c r="C23" s="1">
        <v>46082.361111111109</v>
      </c>
      <c r="D23" s="1">
        <v>46082.75</v>
      </c>
      <c r="E23" t="s">
        <v>36</v>
      </c>
      <c r="F23" t="s">
        <v>12</v>
      </c>
      <c r="G23" t="s">
        <v>13</v>
      </c>
      <c r="H23" t="s">
        <v>14</v>
      </c>
      <c r="I23" t="s">
        <v>27</v>
      </c>
      <c r="J23" t="s">
        <v>28</v>
      </c>
      <c r="K23">
        <v>4</v>
      </c>
      <c r="L23" t="str">
        <f>TEXT(tbl_clean_tickets[[#This Row],[Created Date]], "mmm yyyy")</f>
        <v>Mar 2026</v>
      </c>
      <c r="M23">
        <f>IF(tbl_clean_tickets[[#This Row],[Resolved Date]]="","",(tbl_clean_tickets[[#This Row],[Resolved Date]]-tbl_clean_tickets[[#This Row],[Created Date]])*24)</f>
        <v>9.3333333333721384</v>
      </c>
      <c r="N23" t="str">
        <f>IF(tbl_clean_tickets[[#This Row],[Status]]="Open", "Open", IF(tbl_clean_tickets[[#This Row],[Resolution Hours]]&gt;tbl_clean_tickets[[#This Row],[SLA Hours]], "Breached", "Within SLA"))</f>
        <v>Breached</v>
      </c>
      <c r="O23" t="str">
        <f ca="1">IF(tbl_clean_tickets[[#This Row],[Status]]="Open", (NOW() - tbl_clean_tickets[[#This Row],[Created Date]])*24, " ")</f>
        <v xml:space="preserve"> </v>
      </c>
      <c r="P23" cm="1">
        <f t="array" ref="P23">_xlfn.SWITCH(tbl_clean_tickets[[#This Row],[Priority]], "Critical", 1, "High", 2, "Medium", 3, "Low", 4)</f>
        <v>1</v>
      </c>
    </row>
    <row r="24" spans="1:16" x14ac:dyDescent="0.25">
      <c r="A24" s="8" t="s">
        <v>126</v>
      </c>
      <c r="B24" t="s">
        <v>53</v>
      </c>
      <c r="C24" s="1">
        <v>46083.392361111109</v>
      </c>
      <c r="D24" s="1">
        <v>46084.4375</v>
      </c>
      <c r="E24" t="s">
        <v>11</v>
      </c>
      <c r="F24" t="s">
        <v>12</v>
      </c>
      <c r="G24" t="s">
        <v>25</v>
      </c>
      <c r="H24" t="s">
        <v>26</v>
      </c>
      <c r="I24" t="s">
        <v>15</v>
      </c>
      <c r="J24" t="s">
        <v>16</v>
      </c>
      <c r="K24">
        <v>8</v>
      </c>
      <c r="L24" t="str">
        <f>TEXT(tbl_clean_tickets[[#This Row],[Created Date]], "mmm yyyy")</f>
        <v>Mar 2026</v>
      </c>
      <c r="M24">
        <f>IF(tbl_clean_tickets[[#This Row],[Resolved Date]]="","",(tbl_clean_tickets[[#This Row],[Resolved Date]]-tbl_clean_tickets[[#This Row],[Created Date]])*24)</f>
        <v>25.083333333372138</v>
      </c>
      <c r="N24" t="str">
        <f>IF(tbl_clean_tickets[[#This Row],[Status]]="Open", "Open", IF(tbl_clean_tickets[[#This Row],[Resolution Hours]]&gt;tbl_clean_tickets[[#This Row],[SLA Hours]], "Breached", "Within SLA"))</f>
        <v>Breached</v>
      </c>
      <c r="O24" t="str">
        <f ca="1">IF(tbl_clean_tickets[[#This Row],[Status]]="Open", (NOW() - tbl_clean_tickets[[#This Row],[Created Date]])*24, " ")</f>
        <v xml:space="preserve"> </v>
      </c>
      <c r="P24" cm="1">
        <f t="array" ref="P24">_xlfn.SWITCH(tbl_clean_tickets[[#This Row],[Priority]], "Critical", 1, "High", 2, "Medium", 3, "Low", 4)</f>
        <v>2</v>
      </c>
    </row>
    <row r="25" spans="1:16" x14ac:dyDescent="0.25">
      <c r="A25" s="8"/>
      <c r="B25" t="s">
        <v>54</v>
      </c>
      <c r="C25" s="1">
        <v>46084.46875</v>
      </c>
      <c r="D25" s="1"/>
      <c r="E25" t="s">
        <v>18</v>
      </c>
      <c r="F25" t="s">
        <v>24</v>
      </c>
      <c r="G25" t="s">
        <v>19</v>
      </c>
      <c r="H25" t="s">
        <v>20</v>
      </c>
      <c r="I25" t="s">
        <v>21</v>
      </c>
      <c r="J25" t="s">
        <v>22</v>
      </c>
      <c r="K25">
        <v>24</v>
      </c>
      <c r="L25" t="str">
        <f>TEXT(tbl_clean_tickets[[#This Row],[Created Date]], "mmm yyyy")</f>
        <v>Mar 2026</v>
      </c>
      <c r="M25" t="str">
        <f>IF(tbl_clean_tickets[[#This Row],[Resolved Date]]="","",(tbl_clean_tickets[[#This Row],[Resolved Date]]-tbl_clean_tickets[[#This Row],[Created Date]])*24)</f>
        <v/>
      </c>
      <c r="N25" t="str">
        <f>IF(tbl_clean_tickets[[#This Row],[Status]]="Open", "Open", IF(tbl_clean_tickets[[#This Row],[Resolution Hours]]&gt;tbl_clean_tickets[[#This Row],[SLA Hours]], "Breached", "Within SLA"))</f>
        <v>Open</v>
      </c>
      <c r="O25">
        <f ca="1">IF(tbl_clean_tickets[[#This Row],[Status]]="Open", (NOW() - tbl_clean_tickets[[#This Row],[Created Date]])*24, " ")</f>
        <v>2835.3694999999716</v>
      </c>
      <c r="P25" cm="1">
        <f t="array" ref="P25">_xlfn.SWITCH(tbl_clean_tickets[[#This Row],[Priority]], "Critical", 1, "High", 2, "Medium", 3, "Low", 4)</f>
        <v>3</v>
      </c>
    </row>
    <row r="26" spans="1:16" x14ac:dyDescent="0.25">
      <c r="B26" t="s">
        <v>55</v>
      </c>
      <c r="C26" s="1">
        <v>46086.541666666664</v>
      </c>
      <c r="D26" s="1">
        <v>46086.590277777781</v>
      </c>
      <c r="E26" t="s">
        <v>30</v>
      </c>
      <c r="F26" t="s">
        <v>12</v>
      </c>
      <c r="G26" t="s">
        <v>31</v>
      </c>
      <c r="H26" t="s">
        <v>32</v>
      </c>
      <c r="I26" t="s">
        <v>21</v>
      </c>
      <c r="J26" t="s">
        <v>33</v>
      </c>
      <c r="K26">
        <v>48</v>
      </c>
      <c r="L26" t="str">
        <f>TEXT(tbl_clean_tickets[[#This Row],[Created Date]], "mmm yyyy")</f>
        <v>Mar 2026</v>
      </c>
      <c r="M26">
        <f>IF(tbl_clean_tickets[[#This Row],[Resolved Date]]="","",(tbl_clean_tickets[[#This Row],[Resolved Date]]-tbl_clean_tickets[[#This Row],[Created Date]])*24)</f>
        <v>1.1666666668024845</v>
      </c>
      <c r="N26" t="str">
        <f>IF(tbl_clean_tickets[[#This Row],[Status]]="Open", "Open", IF(tbl_clean_tickets[[#This Row],[Resolution Hours]]&gt;tbl_clean_tickets[[#This Row],[SLA Hours]], "Breached", "Within SLA"))</f>
        <v>Within SLA</v>
      </c>
      <c r="O26" t="str">
        <f ca="1">IF(tbl_clean_tickets[[#This Row],[Status]]="Open", (NOW() - tbl_clean_tickets[[#This Row],[Created Date]])*24, " ")</f>
        <v xml:space="preserve"> </v>
      </c>
      <c r="P26" cm="1">
        <f t="array" ref="P26">_xlfn.SWITCH(tbl_clean_tickets[[#This Row],[Priority]], "Critical", 1, "High", 2, "Medium", 3, "Low", 4)</f>
        <v>4</v>
      </c>
    </row>
    <row r="27" spans="1:16" x14ac:dyDescent="0.25">
      <c r="B27" t="s">
        <v>56</v>
      </c>
      <c r="C27" s="1">
        <v>46087.645833333336</v>
      </c>
      <c r="D27" s="1">
        <v>46089.375</v>
      </c>
      <c r="E27" t="s">
        <v>11</v>
      </c>
      <c r="F27" t="s">
        <v>12</v>
      </c>
      <c r="G27" t="s">
        <v>13</v>
      </c>
      <c r="H27" t="s">
        <v>14</v>
      </c>
      <c r="I27" t="s">
        <v>27</v>
      </c>
      <c r="J27" t="s">
        <v>28</v>
      </c>
      <c r="K27">
        <v>8</v>
      </c>
      <c r="L27" t="str">
        <f>TEXT(tbl_clean_tickets[[#This Row],[Created Date]], "mmm yyyy")</f>
        <v>Mar 2026</v>
      </c>
      <c r="M27">
        <f>IF(tbl_clean_tickets[[#This Row],[Resolved Date]]="","",(tbl_clean_tickets[[#This Row],[Resolved Date]]-tbl_clean_tickets[[#This Row],[Created Date]])*24)</f>
        <v>41.499999999941792</v>
      </c>
      <c r="N27" t="str">
        <f>IF(tbl_clean_tickets[[#This Row],[Status]]="Open", "Open", IF(tbl_clean_tickets[[#This Row],[Resolution Hours]]&gt;tbl_clean_tickets[[#This Row],[SLA Hours]], "Breached", "Within SLA"))</f>
        <v>Breached</v>
      </c>
      <c r="O27" t="str">
        <f ca="1">IF(tbl_clean_tickets[[#This Row],[Status]]="Open", (NOW() - tbl_clean_tickets[[#This Row],[Created Date]])*24, " ")</f>
        <v xml:space="preserve"> </v>
      </c>
      <c r="P27" cm="1">
        <f t="array" ref="P27">_xlfn.SWITCH(tbl_clean_tickets[[#This Row],[Priority]], "Critical", 1, "High", 2, "Medium", 3, "Low", 4)</f>
        <v>2</v>
      </c>
    </row>
    <row r="28" spans="1:16" x14ac:dyDescent="0.25">
      <c r="B28" t="s">
        <v>57</v>
      </c>
      <c r="C28" s="1">
        <v>46089.451388888891</v>
      </c>
      <c r="D28" s="1">
        <v>46090.520833333336</v>
      </c>
      <c r="E28" t="s">
        <v>18</v>
      </c>
      <c r="F28" t="s">
        <v>12</v>
      </c>
      <c r="G28" t="s">
        <v>25</v>
      </c>
      <c r="H28" t="s">
        <v>26</v>
      </c>
      <c r="I28" t="s">
        <v>15</v>
      </c>
      <c r="J28" t="s">
        <v>16</v>
      </c>
      <c r="K28">
        <v>24</v>
      </c>
      <c r="L28" t="str">
        <f>TEXT(tbl_clean_tickets[[#This Row],[Created Date]], "mmm yyyy")</f>
        <v>Mar 2026</v>
      </c>
      <c r="M28">
        <f>IF(tbl_clean_tickets[[#This Row],[Resolved Date]]="","",(tbl_clean_tickets[[#This Row],[Resolved Date]]-tbl_clean_tickets[[#This Row],[Created Date]])*24)</f>
        <v>25.666666666686069</v>
      </c>
      <c r="N28" t="str">
        <f>IF(tbl_clean_tickets[[#This Row],[Status]]="Open", "Open", IF(tbl_clean_tickets[[#This Row],[Resolution Hours]]&gt;tbl_clean_tickets[[#This Row],[SLA Hours]], "Breached", "Within SLA"))</f>
        <v>Breached</v>
      </c>
      <c r="O28" t="str">
        <f ca="1">IF(tbl_clean_tickets[[#This Row],[Status]]="Open", (NOW() - tbl_clean_tickets[[#This Row],[Created Date]])*24, " ")</f>
        <v xml:space="preserve"> </v>
      </c>
      <c r="P28" cm="1">
        <f t="array" ref="P28">_xlfn.SWITCH(tbl_clean_tickets[[#This Row],[Priority]], "Critical", 1, "High", 2, "Medium", 3, "Low", 4)</f>
        <v>3</v>
      </c>
    </row>
    <row r="29" spans="1:16" x14ac:dyDescent="0.25">
      <c r="B29" t="s">
        <v>58</v>
      </c>
      <c r="C29" s="1">
        <v>46091.381944444445</v>
      </c>
      <c r="D29" s="1">
        <v>46091.416666666664</v>
      </c>
      <c r="E29" t="s">
        <v>30</v>
      </c>
      <c r="F29" t="s">
        <v>12</v>
      </c>
      <c r="G29" t="s">
        <v>38</v>
      </c>
      <c r="H29" t="s">
        <v>32</v>
      </c>
      <c r="I29" t="s">
        <v>21</v>
      </c>
      <c r="J29" t="s">
        <v>22</v>
      </c>
      <c r="K29">
        <v>48</v>
      </c>
      <c r="L29" t="str">
        <f>TEXT(tbl_clean_tickets[[#This Row],[Created Date]], "mmm yyyy")</f>
        <v>Mar 2026</v>
      </c>
      <c r="M29">
        <f>IF(tbl_clean_tickets[[#This Row],[Resolved Date]]="","",(tbl_clean_tickets[[#This Row],[Resolved Date]]-tbl_clean_tickets[[#This Row],[Created Date]])*24)</f>
        <v>0.83333333325572312</v>
      </c>
      <c r="N29" t="str">
        <f>IF(tbl_clean_tickets[[#This Row],[Status]]="Open", "Open", IF(tbl_clean_tickets[[#This Row],[Resolution Hours]]&gt;tbl_clean_tickets[[#This Row],[SLA Hours]], "Breached", "Within SLA"))</f>
        <v>Within SLA</v>
      </c>
      <c r="O29" t="str">
        <f ca="1">IF(tbl_clean_tickets[[#This Row],[Status]]="Open", (NOW() - tbl_clean_tickets[[#This Row],[Created Date]])*24, " ")</f>
        <v xml:space="preserve"> </v>
      </c>
      <c r="P29" cm="1">
        <f t="array" ref="P29">_xlfn.SWITCH(tbl_clean_tickets[[#This Row],[Priority]], "Critical", 1, "High", 2, "Medium", 3, "Low", 4)</f>
        <v>4</v>
      </c>
    </row>
    <row r="30" spans="1:16" x14ac:dyDescent="0.25">
      <c r="B30" t="s">
        <v>59</v>
      </c>
      <c r="C30" s="1">
        <v>46092.611111111109</v>
      </c>
      <c r="D30" s="1"/>
      <c r="E30" t="s">
        <v>36</v>
      </c>
      <c r="F30" t="s">
        <v>24</v>
      </c>
      <c r="G30" t="s">
        <v>19</v>
      </c>
      <c r="H30" t="s">
        <v>20</v>
      </c>
      <c r="I30" t="s">
        <v>27</v>
      </c>
      <c r="J30" t="s">
        <v>28</v>
      </c>
      <c r="K30">
        <v>4</v>
      </c>
      <c r="L30" t="str">
        <f>TEXT(tbl_clean_tickets[[#This Row],[Created Date]], "mmm yyyy")</f>
        <v>Mar 2026</v>
      </c>
      <c r="M30" t="str">
        <f>IF(tbl_clean_tickets[[#This Row],[Resolved Date]]="","",(tbl_clean_tickets[[#This Row],[Resolved Date]]-tbl_clean_tickets[[#This Row],[Created Date]])*24)</f>
        <v/>
      </c>
      <c r="N30" t="str">
        <f>IF(tbl_clean_tickets[[#This Row],[Status]]="Open", "Open", IF(tbl_clean_tickets[[#This Row],[Resolution Hours]]&gt;tbl_clean_tickets[[#This Row],[SLA Hours]], "Breached", "Within SLA"))</f>
        <v>Open</v>
      </c>
      <c r="O30">
        <f ca="1">IF(tbl_clean_tickets[[#This Row],[Status]]="Open", (NOW() - tbl_clean_tickets[[#This Row],[Created Date]])*24, " ")</f>
        <v>2639.9528333333437</v>
      </c>
      <c r="P30" cm="1">
        <f t="array" ref="P30">_xlfn.SWITCH(tbl_clean_tickets[[#This Row],[Priority]], "Critical", 1, "High", 2, "Medium", 3, "Low", 4)</f>
        <v>1</v>
      </c>
    </row>
    <row r="31" spans="1:16" x14ac:dyDescent="0.25">
      <c r="B31" t="s">
        <v>60</v>
      </c>
      <c r="C31" s="1">
        <v>46094.680555555555</v>
      </c>
      <c r="D31" s="1">
        <v>46095.489583333336</v>
      </c>
      <c r="E31" t="s">
        <v>18</v>
      </c>
      <c r="F31" t="s">
        <v>12</v>
      </c>
      <c r="G31" t="s">
        <v>13</v>
      </c>
      <c r="H31" t="s">
        <v>14</v>
      </c>
      <c r="I31" t="s">
        <v>15</v>
      </c>
      <c r="J31" t="s">
        <v>33</v>
      </c>
      <c r="K31">
        <v>24</v>
      </c>
      <c r="L31" t="str">
        <f>TEXT(tbl_clean_tickets[[#This Row],[Created Date]], "mmm yyyy")</f>
        <v>Mar 2026</v>
      </c>
      <c r="M31">
        <f>IF(tbl_clean_tickets[[#This Row],[Resolved Date]]="","",(tbl_clean_tickets[[#This Row],[Resolved Date]]-tbl_clean_tickets[[#This Row],[Created Date]])*24)</f>
        <v>19.416666666744277</v>
      </c>
      <c r="N31" t="str">
        <f>IF(tbl_clean_tickets[[#This Row],[Status]]="Open", "Open", IF(tbl_clean_tickets[[#This Row],[Resolution Hours]]&gt;tbl_clean_tickets[[#This Row],[SLA Hours]], "Breached", "Within SLA"))</f>
        <v>Within SLA</v>
      </c>
      <c r="O31" t="str">
        <f ca="1">IF(tbl_clean_tickets[[#This Row],[Status]]="Open", (NOW() - tbl_clean_tickets[[#This Row],[Created Date]])*24, " ")</f>
        <v xml:space="preserve"> </v>
      </c>
      <c r="P31" cm="1">
        <f t="array" ref="P31">_xlfn.SWITCH(tbl_clean_tickets[[#This Row],[Priority]], "Critical", 1, "High", 2, "Medium", 3, "Low", 4)</f>
        <v>3</v>
      </c>
    </row>
    <row r="32" spans="1:16" x14ac:dyDescent="0.25">
      <c r="B32" t="s">
        <v>61</v>
      </c>
      <c r="C32" s="1">
        <v>46096.371527777781</v>
      </c>
      <c r="D32" s="1">
        <v>46096.559027777781</v>
      </c>
      <c r="E32" t="s">
        <v>11</v>
      </c>
      <c r="F32" t="s">
        <v>12</v>
      </c>
      <c r="G32" t="s">
        <v>19</v>
      </c>
      <c r="H32" t="s">
        <v>20</v>
      </c>
      <c r="I32" t="s">
        <v>21</v>
      </c>
      <c r="J32" t="s">
        <v>16</v>
      </c>
      <c r="K32">
        <v>8</v>
      </c>
      <c r="L32" t="str">
        <f>TEXT(tbl_clean_tickets[[#This Row],[Created Date]], "mmm yyyy")</f>
        <v>Mar 2026</v>
      </c>
      <c r="M32">
        <f>IF(tbl_clean_tickets[[#This Row],[Resolved Date]]="","",(tbl_clean_tickets[[#This Row],[Resolved Date]]-tbl_clean_tickets[[#This Row],[Created Date]])*24)</f>
        <v>4.5</v>
      </c>
      <c r="N32" t="str">
        <f>IF(tbl_clean_tickets[[#This Row],[Status]]="Open", "Open", IF(tbl_clean_tickets[[#This Row],[Resolution Hours]]&gt;tbl_clean_tickets[[#This Row],[SLA Hours]], "Breached", "Within SLA"))</f>
        <v>Within SLA</v>
      </c>
      <c r="O32" t="str">
        <f ca="1">IF(tbl_clean_tickets[[#This Row],[Status]]="Open", (NOW() - tbl_clean_tickets[[#This Row],[Created Date]])*24, " ")</f>
        <v xml:space="preserve"> </v>
      </c>
      <c r="P32" cm="1">
        <f t="array" ref="P32">_xlfn.SWITCH(tbl_clean_tickets[[#This Row],[Priority]], "Critical", 1, "High", 2, "Medium", 3, "Low", 4)</f>
        <v>2</v>
      </c>
    </row>
  </sheetData>
  <mergeCells count="1">
    <mergeCell ref="A1:P1"/>
  </mergeCells>
  <conditionalFormatting sqref="N2:N32 M33:M1048576">
    <cfRule type="containsText" dxfId="2" priority="4" operator="containsText" text="Open">
      <formula>NOT(ISERROR(SEARCH("Open",M2)))</formula>
    </cfRule>
    <cfRule type="containsText" dxfId="1" priority="5" operator="containsText" text="Within SLA">
      <formula>NOT(ISERROR(SEARCH("Within SLA",M2)))</formula>
    </cfRule>
    <cfRule type="containsText" dxfId="0" priority="6" operator="containsText" text="Breached">
      <formula>NOT(ISERROR(SEARCH("Breached",M2)))</formula>
    </cfRule>
  </conditionalFormatting>
  <conditionalFormatting sqref="O33:O1048576 P2:P32">
    <cfRule type="colorScale" priority="1">
      <colorScale>
        <cfvo type="min"/>
        <cfvo type="percentile" val="50"/>
        <cfvo type="max"/>
        <color theme="4" tint="0.39997558519241921"/>
        <color theme="6" tint="0.39997558519241921"/>
        <color theme="7" tint="0.39997558519241921"/>
      </colorScale>
    </cfRule>
    <cfRule type="colorScale" priority="2">
      <colorScale>
        <cfvo type="min"/>
        <cfvo type="max"/>
        <color theme="4" tint="0.39997558519241921"/>
        <color theme="7" tint="0.39997558519241921"/>
      </colorScale>
    </cfRule>
    <cfRule type="colorScale" priority="3">
      <colorScale>
        <cfvo type="min"/>
        <cfvo type="percentile" val="50"/>
        <cfvo type="max"/>
        <color rgb="FFF8696B"/>
        <color rgb="FFFFEB84"/>
        <color rgb="FF63BE7B"/>
      </colorScale>
    </cfRule>
  </conditionalFormatting>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AA67B-BAE8-4734-8DE1-C39A9EEA2C30}">
  <dimension ref="A1:P28"/>
  <sheetViews>
    <sheetView showGridLines="0" zoomScale="83" zoomScaleNormal="83" workbookViewId="0">
      <selection sqref="A1:P1"/>
    </sheetView>
  </sheetViews>
  <sheetFormatPr defaultRowHeight="13.8" x14ac:dyDescent="0.25"/>
  <cols>
    <col min="1" max="1" width="13.296875" style="6" customWidth="1"/>
    <col min="2" max="2" width="23.69921875" style="2" bestFit="1" customWidth="1"/>
    <col min="3" max="3" width="23.296875" style="2" customWidth="1"/>
    <col min="4" max="15" width="8.796875" style="2"/>
    <col min="16" max="16" width="19.09765625" style="2" customWidth="1"/>
    <col min="17" max="16384" width="8.796875" style="2"/>
  </cols>
  <sheetData>
    <row r="1" spans="1:16" ht="28.2" x14ac:dyDescent="0.25">
      <c r="A1" s="13" t="s">
        <v>87</v>
      </c>
      <c r="B1" s="13"/>
      <c r="C1" s="13"/>
      <c r="D1" s="13"/>
      <c r="E1" s="13"/>
      <c r="F1" s="13"/>
      <c r="G1" s="13"/>
      <c r="H1" s="13"/>
      <c r="I1" s="13"/>
      <c r="J1" s="13"/>
      <c r="K1" s="13"/>
      <c r="L1" s="13"/>
      <c r="M1" s="13"/>
      <c r="N1" s="13"/>
      <c r="O1" s="13"/>
      <c r="P1" s="13"/>
    </row>
    <row r="6" spans="1:16" x14ac:dyDescent="0.25">
      <c r="A6" s="8" t="s">
        <v>123</v>
      </c>
    </row>
    <row r="7" spans="1:16" x14ac:dyDescent="0.3">
      <c r="A7" s="9"/>
    </row>
    <row r="8" spans="1:16" x14ac:dyDescent="0.25">
      <c r="A8" s="10"/>
    </row>
    <row r="9" spans="1:16" x14ac:dyDescent="0.25">
      <c r="A9" s="10"/>
    </row>
    <row r="10" spans="1:16" x14ac:dyDescent="0.25">
      <c r="A10" s="8" t="s">
        <v>124</v>
      </c>
    </row>
    <row r="11" spans="1:16" x14ac:dyDescent="0.3">
      <c r="A11" s="9"/>
    </row>
    <row r="12" spans="1:16" x14ac:dyDescent="0.25">
      <c r="A12" s="10"/>
      <c r="C12" s="12"/>
    </row>
    <row r="13" spans="1:16" x14ac:dyDescent="0.3">
      <c r="A13" s="9"/>
      <c r="B13" s="7"/>
      <c r="C13" s="12"/>
    </row>
    <row r="14" spans="1:16" x14ac:dyDescent="0.25">
      <c r="A14" s="8"/>
      <c r="B14" s="7"/>
    </row>
    <row r="15" spans="1:16" x14ac:dyDescent="0.25">
      <c r="A15" s="8" t="s">
        <v>127</v>
      </c>
      <c r="B15" s="7"/>
    </row>
    <row r="16" spans="1:16" x14ac:dyDescent="0.3">
      <c r="A16" s="9"/>
      <c r="B16" s="7"/>
    </row>
    <row r="17" spans="1:7" x14ac:dyDescent="0.3">
      <c r="A17" s="9"/>
      <c r="B17" s="7"/>
    </row>
    <row r="18" spans="1:7" x14ac:dyDescent="0.25">
      <c r="A18" s="8"/>
      <c r="B18" s="7"/>
    </row>
    <row r="19" spans="1:7" x14ac:dyDescent="0.25">
      <c r="A19" s="8"/>
      <c r="B19" s="7"/>
    </row>
    <row r="20" spans="1:7" x14ac:dyDescent="0.25">
      <c r="A20" s="8" t="s">
        <v>125</v>
      </c>
      <c r="B20" s="7"/>
      <c r="E20" s="12"/>
      <c r="F20" s="14"/>
      <c r="G20" s="14"/>
    </row>
    <row r="21" spans="1:7" x14ac:dyDescent="0.25">
      <c r="B21" s="7"/>
      <c r="E21" s="12"/>
      <c r="F21" s="14"/>
      <c r="G21" s="14"/>
    </row>
    <row r="22" spans="1:7" x14ac:dyDescent="0.25">
      <c r="A22" s="8"/>
      <c r="B22" s="7"/>
      <c r="E22" s="12"/>
      <c r="F22" s="14"/>
      <c r="G22" s="14"/>
    </row>
    <row r="23" spans="1:7" x14ac:dyDescent="0.3">
      <c r="A23" s="9"/>
      <c r="B23" s="7"/>
      <c r="E23" s="12"/>
      <c r="F23" s="14"/>
      <c r="G23" s="15"/>
    </row>
    <row r="24" spans="1:7" x14ac:dyDescent="0.25">
      <c r="A24" s="8" t="s">
        <v>126</v>
      </c>
      <c r="B24" s="7"/>
      <c r="E24" s="12"/>
      <c r="F24" s="14"/>
      <c r="G24" s="16"/>
    </row>
    <row r="25" spans="1:7" x14ac:dyDescent="0.25">
      <c r="A25" s="8"/>
      <c r="B25" s="7"/>
    </row>
    <row r="26" spans="1:7" x14ac:dyDescent="0.25">
      <c r="B26" s="7"/>
    </row>
    <row r="27" spans="1:7" x14ac:dyDescent="0.25">
      <c r="B27" s="7"/>
    </row>
    <row r="28" spans="1:7" x14ac:dyDescent="0.25">
      <c r="B28" s="7"/>
    </row>
  </sheetData>
  <mergeCells count="1">
    <mergeCell ref="A1:P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11AA2-7DBD-4F44-AAEC-16A06F5BC6AB}">
  <dimension ref="A1:P27"/>
  <sheetViews>
    <sheetView zoomScaleNormal="100" workbookViewId="0">
      <selection sqref="A1:P1"/>
    </sheetView>
  </sheetViews>
  <sheetFormatPr defaultRowHeight="13.8" x14ac:dyDescent="0.25"/>
  <cols>
    <col min="1" max="1" width="14.59765625" style="6" bestFit="1" customWidth="1"/>
    <col min="2" max="2" width="23.69921875" style="2" bestFit="1" customWidth="1"/>
    <col min="3" max="3" width="16.3984375" style="2" bestFit="1" customWidth="1"/>
    <col min="4" max="4" width="15.69921875" style="2" bestFit="1" customWidth="1"/>
    <col min="5" max="5" width="16.59765625" style="2" bestFit="1" customWidth="1"/>
    <col min="6" max="6" width="16.3984375" style="2" bestFit="1" customWidth="1"/>
    <col min="7" max="7" width="5.8984375" style="2" bestFit="1" customWidth="1"/>
    <col min="8" max="8" width="11.09765625" style="2" bestFit="1" customWidth="1"/>
    <col min="9" max="9" width="26" style="2" bestFit="1" customWidth="1"/>
    <col min="10" max="10" width="16.8984375" style="2" customWidth="1"/>
    <col min="11" max="11" width="16.3984375" style="2" customWidth="1"/>
    <col min="12" max="12" width="5.69921875" style="2" customWidth="1"/>
    <col min="13" max="13" width="10.69921875" style="2" customWidth="1"/>
    <col min="14" max="14" width="11.3984375" style="2" customWidth="1"/>
    <col min="15" max="15" width="8.796875" style="2"/>
    <col min="16" max="16" width="13.3984375" style="2" customWidth="1"/>
    <col min="17" max="17" width="26.796875" style="2" customWidth="1"/>
    <col min="18" max="16384" width="8.796875" style="2"/>
  </cols>
  <sheetData>
    <row r="1" spans="1:16" ht="32.4" x14ac:dyDescent="0.25">
      <c r="A1" s="11" t="s">
        <v>87</v>
      </c>
      <c r="B1" s="11"/>
      <c r="C1" s="11"/>
      <c r="D1" s="11"/>
      <c r="E1" s="11"/>
      <c r="F1" s="11"/>
      <c r="G1" s="11"/>
      <c r="H1" s="11"/>
      <c r="I1" s="11"/>
      <c r="J1" s="11"/>
      <c r="K1" s="11"/>
      <c r="L1" s="11"/>
      <c r="M1" s="11"/>
      <c r="N1" s="11"/>
      <c r="O1" s="11"/>
      <c r="P1" s="11"/>
    </row>
    <row r="2" spans="1:16" x14ac:dyDescent="0.25">
      <c r="B2" s="2" t="s">
        <v>67</v>
      </c>
      <c r="C2" s="2" t="s">
        <v>76</v>
      </c>
    </row>
    <row r="3" spans="1:16" x14ac:dyDescent="0.25">
      <c r="B3" s="2" t="s">
        <v>69</v>
      </c>
      <c r="C3" s="2">
        <f>COUNTA(tbl_clean_tickets[Ticket ID])</f>
        <v>30</v>
      </c>
    </row>
    <row r="4" spans="1:16" x14ac:dyDescent="0.25">
      <c r="B4" s="2" t="s">
        <v>68</v>
      </c>
      <c r="C4" s="2">
        <f>COUNTIF(tbl_clean_tickets[Status], "Closed")</f>
        <v>24</v>
      </c>
    </row>
    <row r="5" spans="1:16" x14ac:dyDescent="0.25">
      <c r="B5" s="2" t="s">
        <v>70</v>
      </c>
      <c r="C5" s="2">
        <f>COUNTIF(tbl_clean_tickets[Status], "Open")</f>
        <v>6</v>
      </c>
    </row>
    <row r="6" spans="1:16" x14ac:dyDescent="0.25">
      <c r="A6" s="8" t="s">
        <v>123</v>
      </c>
      <c r="B6" s="2" t="s">
        <v>71</v>
      </c>
      <c r="C6" s="2">
        <f>COUNTIF(tbl_clean_tickets[SLA Status], "Breached")</f>
        <v>11</v>
      </c>
    </row>
    <row r="7" spans="1:16" x14ac:dyDescent="0.3">
      <c r="A7" s="9"/>
      <c r="B7" s="2" t="s">
        <v>72</v>
      </c>
      <c r="C7" s="2">
        <f>COUNTIF(tbl_clean_tickets[SLA Status], "Within SLA")</f>
        <v>13</v>
      </c>
    </row>
    <row r="8" spans="1:16" x14ac:dyDescent="0.25">
      <c r="A8" s="10"/>
      <c r="B8" s="2" t="s">
        <v>73</v>
      </c>
      <c r="C8" s="4">
        <f>COUNTIF(tbl_clean_tickets[SLA Status], "Breached")/COUNTIF(tbl_clean_tickets[Status], "Closed")</f>
        <v>0.45833333333333331</v>
      </c>
    </row>
    <row r="9" spans="1:16" x14ac:dyDescent="0.25">
      <c r="A9" s="10"/>
      <c r="B9" s="2" t="s">
        <v>74</v>
      </c>
      <c r="C9" s="5">
        <f xml:space="preserve"> AVERAGE(tbl_clean_tickets[Resolution Hours])</f>
        <v>15.836805555583851</v>
      </c>
    </row>
    <row r="10" spans="1:16" x14ac:dyDescent="0.25">
      <c r="A10" s="8" t="s">
        <v>124</v>
      </c>
      <c r="B10" s="2" t="s">
        <v>75</v>
      </c>
      <c r="C10" s="2">
        <f>COUNTIF(tbl_clean_tickets[Priority], "Critical")</f>
        <v>4</v>
      </c>
    </row>
    <row r="11" spans="1:16" x14ac:dyDescent="0.3">
      <c r="A11" s="9"/>
    </row>
    <row r="12" spans="1:16" x14ac:dyDescent="0.25">
      <c r="A12" s="10"/>
    </row>
    <row r="13" spans="1:16" x14ac:dyDescent="0.3">
      <c r="A13" s="9"/>
      <c r="B13" s="3" t="s">
        <v>77</v>
      </c>
      <c r="C13" s="2" t="s">
        <v>82</v>
      </c>
      <c r="E13" s="3" t="s">
        <v>77</v>
      </c>
      <c r="F13" s="2" t="s">
        <v>82</v>
      </c>
      <c r="H13" s="3" t="s">
        <v>77</v>
      </c>
      <c r="I13" s="2" t="s">
        <v>86</v>
      </c>
    </row>
    <row r="14" spans="1:16" x14ac:dyDescent="0.25">
      <c r="A14" s="8"/>
      <c r="B14" s="2" t="s">
        <v>78</v>
      </c>
      <c r="C14" s="17">
        <v>10</v>
      </c>
      <c r="E14" s="2" t="s">
        <v>11</v>
      </c>
      <c r="F14" s="17">
        <v>2</v>
      </c>
      <c r="H14" s="2" t="s">
        <v>36</v>
      </c>
      <c r="I14" s="17">
        <v>8.9166666667442769</v>
      </c>
    </row>
    <row r="15" spans="1:16" x14ac:dyDescent="0.25">
      <c r="A15" s="8" t="s">
        <v>127</v>
      </c>
      <c r="B15" s="2" t="s">
        <v>79</v>
      </c>
      <c r="C15" s="17">
        <v>10</v>
      </c>
      <c r="E15" s="2" t="s">
        <v>18</v>
      </c>
      <c r="F15" s="17">
        <v>3</v>
      </c>
      <c r="H15" s="2" t="s">
        <v>11</v>
      </c>
      <c r="I15" s="17">
        <v>15.059523809543212</v>
      </c>
    </row>
    <row r="16" spans="1:16" x14ac:dyDescent="0.3">
      <c r="A16" s="9"/>
      <c r="B16" s="2" t="s">
        <v>80</v>
      </c>
      <c r="C16" s="17">
        <v>10</v>
      </c>
      <c r="E16" s="2" t="s">
        <v>81</v>
      </c>
      <c r="F16" s="17">
        <v>5</v>
      </c>
      <c r="H16" s="2" t="s">
        <v>30</v>
      </c>
      <c r="I16" s="17">
        <v>4.7976190476412217</v>
      </c>
    </row>
    <row r="17" spans="1:9" ht="14.4" x14ac:dyDescent="0.3">
      <c r="A17" s="9"/>
      <c r="B17" s="2" t="s">
        <v>81</v>
      </c>
      <c r="C17" s="17">
        <v>30</v>
      </c>
      <c r="E17"/>
      <c r="F17"/>
      <c r="H17" s="2" t="s">
        <v>18</v>
      </c>
      <c r="I17" s="17">
        <v>27.906250000029104</v>
      </c>
    </row>
    <row r="18" spans="1:9" x14ac:dyDescent="0.25">
      <c r="A18" s="8"/>
      <c r="E18"/>
      <c r="F18"/>
      <c r="H18" s="2" t="s">
        <v>81</v>
      </c>
      <c r="I18" s="17">
        <v>15.836805555583851</v>
      </c>
    </row>
    <row r="19" spans="1:9" x14ac:dyDescent="0.25">
      <c r="A19" s="8"/>
    </row>
    <row r="20" spans="1:9" x14ac:dyDescent="0.25">
      <c r="A20" s="8" t="s">
        <v>125</v>
      </c>
    </row>
    <row r="21" spans="1:9" x14ac:dyDescent="0.25">
      <c r="B21" s="3" t="s">
        <v>77</v>
      </c>
      <c r="C21" s="2" t="s">
        <v>82</v>
      </c>
      <c r="E21" s="3" t="s">
        <v>82</v>
      </c>
      <c r="F21" s="3" t="s">
        <v>83</v>
      </c>
    </row>
    <row r="22" spans="1:9" x14ac:dyDescent="0.25">
      <c r="A22" s="8"/>
      <c r="B22" s="2" t="s">
        <v>31</v>
      </c>
      <c r="C22" s="17">
        <v>3</v>
      </c>
      <c r="E22" s="3" t="s">
        <v>77</v>
      </c>
      <c r="F22" s="2" t="s">
        <v>84</v>
      </c>
      <c r="G22" s="2" t="s">
        <v>24</v>
      </c>
      <c r="H22" s="2" t="s">
        <v>85</v>
      </c>
      <c r="I22" s="2" t="s">
        <v>81</v>
      </c>
    </row>
    <row r="23" spans="1:9" x14ac:dyDescent="0.3">
      <c r="A23" s="9"/>
      <c r="B23" s="2" t="s">
        <v>25</v>
      </c>
      <c r="C23" s="17">
        <v>5</v>
      </c>
      <c r="E23" s="2" t="s">
        <v>20</v>
      </c>
      <c r="F23" s="17">
        <v>5</v>
      </c>
      <c r="G23" s="17">
        <v>2</v>
      </c>
      <c r="H23" s="17">
        <v>2</v>
      </c>
      <c r="I23" s="17">
        <v>9</v>
      </c>
    </row>
    <row r="24" spans="1:9" x14ac:dyDescent="0.25">
      <c r="A24" s="8" t="s">
        <v>126</v>
      </c>
      <c r="B24" s="2" t="s">
        <v>13</v>
      </c>
      <c r="C24" s="17">
        <v>8</v>
      </c>
      <c r="E24" s="2" t="s">
        <v>26</v>
      </c>
      <c r="F24" s="17">
        <v>2</v>
      </c>
      <c r="G24" s="17">
        <v>2</v>
      </c>
      <c r="H24" s="17">
        <v>1</v>
      </c>
      <c r="I24" s="17">
        <v>5</v>
      </c>
    </row>
    <row r="25" spans="1:9" x14ac:dyDescent="0.25">
      <c r="A25" s="8"/>
      <c r="B25" s="2" t="s">
        <v>38</v>
      </c>
      <c r="C25" s="17">
        <v>5</v>
      </c>
      <c r="E25" s="2" t="s">
        <v>14</v>
      </c>
      <c r="F25" s="17">
        <v>3</v>
      </c>
      <c r="G25" s="17">
        <v>2</v>
      </c>
      <c r="H25" s="17">
        <v>3</v>
      </c>
      <c r="I25" s="17">
        <v>8</v>
      </c>
    </row>
    <row r="26" spans="1:9" x14ac:dyDescent="0.25">
      <c r="B26" s="2" t="s">
        <v>19</v>
      </c>
      <c r="C26" s="17">
        <v>9</v>
      </c>
      <c r="E26" s="2" t="s">
        <v>32</v>
      </c>
      <c r="F26" s="17">
        <v>1</v>
      </c>
      <c r="G26" s="17"/>
      <c r="H26" s="17">
        <v>7</v>
      </c>
      <c r="I26" s="17">
        <v>8</v>
      </c>
    </row>
    <row r="27" spans="1:9" x14ac:dyDescent="0.25">
      <c r="B27" s="2" t="s">
        <v>81</v>
      </c>
      <c r="C27" s="17">
        <v>30</v>
      </c>
      <c r="E27" s="2" t="s">
        <v>81</v>
      </c>
      <c r="F27" s="17">
        <v>11</v>
      </c>
      <c r="G27" s="17">
        <v>6</v>
      </c>
      <c r="H27" s="17">
        <v>13</v>
      </c>
      <c r="I27" s="17">
        <v>30</v>
      </c>
    </row>
  </sheetData>
  <mergeCells count="1">
    <mergeCell ref="A1:P1"/>
  </mergeCells>
  <pageMargins left="0.7" right="0.7" top="0.75" bottom="0.75" header="0.3" footer="0.3"/>
  <drawing r:id="rId6"/>
  <tableParts count="1">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D03AB-A2D8-4CE7-95D7-6E075043FAE3}">
  <dimension ref="A1:P25"/>
  <sheetViews>
    <sheetView workbookViewId="0">
      <selection sqref="A1:P1"/>
    </sheetView>
  </sheetViews>
  <sheetFormatPr defaultRowHeight="13.8" x14ac:dyDescent="0.25"/>
  <cols>
    <col min="1" max="1" width="14.59765625" style="6" bestFit="1" customWidth="1"/>
    <col min="2" max="2" width="39.8984375" bestFit="1" customWidth="1"/>
    <col min="3" max="3" width="51.3984375" bestFit="1" customWidth="1"/>
    <col min="4" max="4" width="50.19921875" bestFit="1" customWidth="1"/>
  </cols>
  <sheetData>
    <row r="1" spans="1:16" s="2" customFormat="1" ht="32.4" x14ac:dyDescent="0.25">
      <c r="A1" s="11" t="s">
        <v>87</v>
      </c>
      <c r="B1" s="11"/>
      <c r="C1" s="11"/>
      <c r="D1" s="11"/>
      <c r="E1" s="11"/>
      <c r="F1" s="11"/>
      <c r="G1" s="11"/>
      <c r="H1" s="11"/>
      <c r="I1" s="11"/>
      <c r="J1" s="11"/>
      <c r="K1" s="11"/>
      <c r="L1" s="11"/>
      <c r="M1" s="11"/>
      <c r="N1" s="11"/>
      <c r="O1" s="11"/>
      <c r="P1" s="11"/>
    </row>
    <row r="2" spans="1:16" x14ac:dyDescent="0.25">
      <c r="B2" t="s">
        <v>88</v>
      </c>
      <c r="C2" t="s">
        <v>89</v>
      </c>
      <c r="D2" t="s">
        <v>90</v>
      </c>
    </row>
    <row r="3" spans="1:16" x14ac:dyDescent="0.25">
      <c r="B3" t="s">
        <v>91</v>
      </c>
      <c r="C3" t="s">
        <v>105</v>
      </c>
      <c r="D3" t="s">
        <v>92</v>
      </c>
    </row>
    <row r="4" spans="1:16" x14ac:dyDescent="0.25">
      <c r="B4" t="s">
        <v>93</v>
      </c>
      <c r="C4" t="s">
        <v>94</v>
      </c>
      <c r="D4" t="s">
        <v>95</v>
      </c>
    </row>
    <row r="5" spans="1:16" x14ac:dyDescent="0.25">
      <c r="B5" t="s">
        <v>96</v>
      </c>
      <c r="C5" t="s">
        <v>97</v>
      </c>
      <c r="D5" t="s">
        <v>98</v>
      </c>
    </row>
    <row r="6" spans="1:16" x14ac:dyDescent="0.25">
      <c r="A6" s="8" t="s">
        <v>123</v>
      </c>
      <c r="B6" t="s">
        <v>99</v>
      </c>
      <c r="C6" t="s">
        <v>100</v>
      </c>
      <c r="D6" t="s">
        <v>101</v>
      </c>
    </row>
    <row r="7" spans="1:16" ht="14.4" x14ac:dyDescent="0.3">
      <c r="A7" s="9"/>
      <c r="B7" t="s">
        <v>102</v>
      </c>
      <c r="C7" t="s">
        <v>103</v>
      </c>
      <c r="D7" t="s">
        <v>104</v>
      </c>
    </row>
    <row r="8" spans="1:16" x14ac:dyDescent="0.25">
      <c r="A8" s="10"/>
    </row>
    <row r="9" spans="1:16" x14ac:dyDescent="0.25">
      <c r="A9" s="10"/>
    </row>
    <row r="10" spans="1:16" x14ac:dyDescent="0.25">
      <c r="A10" s="8" t="s">
        <v>124</v>
      </c>
    </row>
    <row r="11" spans="1:16" ht="14.4" x14ac:dyDescent="0.3">
      <c r="A11" s="9"/>
    </row>
    <row r="12" spans="1:16" x14ac:dyDescent="0.25">
      <c r="A12" s="10"/>
    </row>
    <row r="13" spans="1:16" ht="14.4" x14ac:dyDescent="0.3">
      <c r="A13" s="9"/>
    </row>
    <row r="14" spans="1:16" x14ac:dyDescent="0.25">
      <c r="A14" s="8"/>
    </row>
    <row r="15" spans="1:16" x14ac:dyDescent="0.25">
      <c r="A15" s="8" t="s">
        <v>127</v>
      </c>
    </row>
    <row r="16" spans="1:16" ht="14.4" x14ac:dyDescent="0.3">
      <c r="A16" s="9"/>
    </row>
    <row r="17" spans="1:1" ht="14.4" x14ac:dyDescent="0.3">
      <c r="A17" s="9"/>
    </row>
    <row r="18" spans="1:1" x14ac:dyDescent="0.25">
      <c r="A18" s="8"/>
    </row>
    <row r="19" spans="1:1" x14ac:dyDescent="0.25">
      <c r="A19" s="8"/>
    </row>
    <row r="20" spans="1:1" x14ac:dyDescent="0.25">
      <c r="A20" s="8" t="s">
        <v>125</v>
      </c>
    </row>
    <row r="22" spans="1:1" x14ac:dyDescent="0.25">
      <c r="A22" s="8"/>
    </row>
    <row r="23" spans="1:1" ht="14.4" x14ac:dyDescent="0.3">
      <c r="A23" s="9"/>
    </row>
    <row r="24" spans="1:1" x14ac:dyDescent="0.25">
      <c r="A24" s="8" t="s">
        <v>126</v>
      </c>
    </row>
    <row r="25" spans="1:1" x14ac:dyDescent="0.25">
      <c r="A25" s="8"/>
    </row>
  </sheetData>
  <mergeCells count="1">
    <mergeCell ref="A1:P1"/>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2788F-B140-49A7-80CA-75833B7F4866}">
  <dimension ref="A1:P25"/>
  <sheetViews>
    <sheetView tabSelected="1" workbookViewId="0">
      <selection activeCell="F27" sqref="F27"/>
    </sheetView>
  </sheetViews>
  <sheetFormatPr defaultRowHeight="13.8" x14ac:dyDescent="0.25"/>
  <cols>
    <col min="1" max="1" width="14.59765625" style="6" bestFit="1" customWidth="1"/>
    <col min="2" max="3" width="34.69921875" bestFit="1" customWidth="1"/>
  </cols>
  <sheetData>
    <row r="1" spans="1:16" s="2" customFormat="1" ht="32.4" x14ac:dyDescent="0.25">
      <c r="A1" s="11" t="s">
        <v>87</v>
      </c>
      <c r="B1" s="11"/>
      <c r="C1" s="11"/>
      <c r="D1" s="11"/>
      <c r="E1" s="11"/>
      <c r="F1" s="11"/>
      <c r="G1" s="11"/>
      <c r="H1" s="11"/>
      <c r="I1" s="11"/>
      <c r="J1" s="11"/>
      <c r="K1" s="11"/>
      <c r="L1" s="11"/>
      <c r="M1" s="11"/>
      <c r="N1" s="11"/>
      <c r="O1" s="11"/>
      <c r="P1" s="11"/>
    </row>
    <row r="2" spans="1:16" x14ac:dyDescent="0.25">
      <c r="B2" t="s">
        <v>106</v>
      </c>
      <c r="C2" t="s">
        <v>107</v>
      </c>
    </row>
    <row r="3" spans="1:16" x14ac:dyDescent="0.25">
      <c r="B3" t="s">
        <v>0</v>
      </c>
      <c r="C3" t="s">
        <v>108</v>
      </c>
    </row>
    <row r="4" spans="1:16" x14ac:dyDescent="0.25">
      <c r="B4" t="s">
        <v>1</v>
      </c>
      <c r="C4" t="s">
        <v>109</v>
      </c>
    </row>
    <row r="5" spans="1:16" x14ac:dyDescent="0.25">
      <c r="B5" t="s">
        <v>2</v>
      </c>
      <c r="C5" t="s">
        <v>110</v>
      </c>
    </row>
    <row r="6" spans="1:16" x14ac:dyDescent="0.25">
      <c r="A6" s="8" t="s">
        <v>123</v>
      </c>
      <c r="B6" t="s">
        <v>3</v>
      </c>
      <c r="C6" t="s">
        <v>111</v>
      </c>
    </row>
    <row r="7" spans="1:16" ht="14.4" x14ac:dyDescent="0.3">
      <c r="A7" s="9"/>
      <c r="B7" t="s">
        <v>4</v>
      </c>
      <c r="C7" t="s">
        <v>112</v>
      </c>
    </row>
    <row r="8" spans="1:16" x14ac:dyDescent="0.25">
      <c r="A8" s="10"/>
      <c r="B8" t="s">
        <v>5</v>
      </c>
      <c r="C8" t="s">
        <v>113</v>
      </c>
    </row>
    <row r="9" spans="1:16" x14ac:dyDescent="0.25">
      <c r="A9" s="10"/>
      <c r="B9" t="s">
        <v>6</v>
      </c>
      <c r="C9" t="s">
        <v>114</v>
      </c>
    </row>
    <row r="10" spans="1:16" x14ac:dyDescent="0.25">
      <c r="A10" s="8" t="s">
        <v>124</v>
      </c>
      <c r="B10" t="s">
        <v>7</v>
      </c>
      <c r="C10" t="s">
        <v>115</v>
      </c>
    </row>
    <row r="11" spans="1:16" ht="14.4" x14ac:dyDescent="0.3">
      <c r="A11" s="9"/>
      <c r="B11" t="s">
        <v>8</v>
      </c>
      <c r="C11" t="s">
        <v>116</v>
      </c>
    </row>
    <row r="12" spans="1:16" x14ac:dyDescent="0.25">
      <c r="A12" s="10"/>
      <c r="B12" t="s">
        <v>9</v>
      </c>
      <c r="C12" t="s">
        <v>117</v>
      </c>
    </row>
    <row r="13" spans="1:16" ht="14.4" x14ac:dyDescent="0.3">
      <c r="A13" s="9"/>
      <c r="B13" t="s">
        <v>62</v>
      </c>
      <c r="C13" t="s">
        <v>118</v>
      </c>
    </row>
    <row r="14" spans="1:16" x14ac:dyDescent="0.25">
      <c r="A14" s="8"/>
      <c r="B14" t="s">
        <v>63</v>
      </c>
      <c r="C14" t="s">
        <v>119</v>
      </c>
    </row>
    <row r="15" spans="1:16" x14ac:dyDescent="0.25">
      <c r="A15" s="8" t="s">
        <v>127</v>
      </c>
      <c r="B15" t="s">
        <v>64</v>
      </c>
      <c r="C15" t="s">
        <v>120</v>
      </c>
    </row>
    <row r="16" spans="1:16" ht="14.4" x14ac:dyDescent="0.3">
      <c r="A16" s="9"/>
      <c r="B16" t="s">
        <v>65</v>
      </c>
      <c r="C16" t="s">
        <v>121</v>
      </c>
    </row>
    <row r="17" spans="1:3" ht="14.4" x14ac:dyDescent="0.3">
      <c r="A17" s="9"/>
      <c r="B17" t="s">
        <v>66</v>
      </c>
      <c r="C17" t="s">
        <v>122</v>
      </c>
    </row>
    <row r="18" spans="1:3" x14ac:dyDescent="0.25">
      <c r="A18" s="8"/>
    </row>
    <row r="19" spans="1:3" x14ac:dyDescent="0.25">
      <c r="A19" s="8"/>
    </row>
    <row r="20" spans="1:3" x14ac:dyDescent="0.25">
      <c r="A20" s="8" t="s">
        <v>125</v>
      </c>
    </row>
    <row r="22" spans="1:3" x14ac:dyDescent="0.25">
      <c r="A22" s="8"/>
    </row>
    <row r="23" spans="1:3" ht="14.4" x14ac:dyDescent="0.3">
      <c r="A23" s="9"/>
    </row>
    <row r="24" spans="1:3" x14ac:dyDescent="0.25">
      <c r="A24" s="8" t="s">
        <v>126</v>
      </c>
    </row>
    <row r="25" spans="1:3" x14ac:dyDescent="0.25">
      <c r="A25" s="8"/>
    </row>
  </sheetData>
  <mergeCells count="1">
    <mergeCell ref="A1:P1"/>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Cleaned Data</vt:lpstr>
      <vt:lpstr>Dashboard</vt:lpstr>
      <vt:lpstr>Analysis</vt:lpstr>
      <vt:lpstr>Insights</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 Alisha</dc:creator>
  <cp:lastModifiedBy>Nur Alisha</cp:lastModifiedBy>
  <dcterms:created xsi:type="dcterms:W3CDTF">2015-06-05T18:17:20Z</dcterms:created>
  <dcterms:modified xsi:type="dcterms:W3CDTF">2026-06-29T06:37:19Z</dcterms:modified>
</cp:coreProperties>
</file>